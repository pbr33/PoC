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abhakargupta\Downloads\"/>
    </mc:Choice>
  </mc:AlternateContent>
  <xr:revisionPtr revIDLastSave="0" documentId="13_ncr:1_{59F980DE-CF90-42CF-AB81-DC39CF1F61D6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Summary" sheetId="1" r:id="rId1"/>
    <sheet name="AI Agent Dev" sheetId="2" r:id="rId2"/>
    <sheet name="Architecture" sheetId="6" r:id="rId3"/>
    <sheet name="DevOps &amp; Cloud" sheetId="3" r:id="rId4"/>
    <sheet name="Infra Cost" sheetId="4" r:id="rId5"/>
    <sheet name="Version History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6" i="2" l="1"/>
  <c r="D46" i="2"/>
  <c r="E44" i="2"/>
  <c r="D44" i="2"/>
  <c r="C26" i="4"/>
  <c r="C23" i="4"/>
  <c r="C19" i="4"/>
  <c r="C15" i="4"/>
  <c r="C10" i="4"/>
  <c r="C7" i="4"/>
  <c r="F20" i="3"/>
  <c r="F19" i="3"/>
  <c r="E18" i="3"/>
  <c r="D18" i="3"/>
  <c r="F18" i="3" s="1"/>
  <c r="F16" i="3"/>
  <c r="F15" i="3"/>
  <c r="E14" i="3"/>
  <c r="D14" i="3"/>
  <c r="F13" i="3"/>
  <c r="F12" i="3"/>
  <c r="F11" i="3"/>
  <c r="F10" i="3"/>
  <c r="F9" i="3"/>
  <c r="F8" i="3"/>
  <c r="F7" i="3"/>
  <c r="F6" i="3"/>
  <c r="F5" i="3"/>
  <c r="E4" i="3"/>
  <c r="D4" i="3"/>
  <c r="F42" i="2"/>
  <c r="F41" i="2"/>
  <c r="F40" i="2"/>
  <c r="E39" i="2"/>
  <c r="D39" i="2"/>
  <c r="F37" i="2"/>
  <c r="F36" i="2"/>
  <c r="F35" i="2"/>
  <c r="F34" i="2"/>
  <c r="F33" i="2"/>
  <c r="E32" i="2"/>
  <c r="D32" i="2"/>
  <c r="F30" i="2"/>
  <c r="F29" i="2"/>
  <c r="F28" i="2"/>
  <c r="F27" i="2"/>
  <c r="F26" i="2"/>
  <c r="F25" i="2"/>
  <c r="F24" i="2"/>
  <c r="F23" i="2"/>
  <c r="E22" i="2"/>
  <c r="D22" i="2"/>
  <c r="F20" i="2"/>
  <c r="F19" i="2"/>
  <c r="F18" i="2"/>
  <c r="F17" i="2"/>
  <c r="F16" i="2"/>
  <c r="F15" i="2"/>
  <c r="F14" i="2"/>
  <c r="F13" i="2"/>
  <c r="E12" i="2"/>
  <c r="D12" i="2"/>
  <c r="F11" i="2"/>
  <c r="F10" i="2"/>
  <c r="F9" i="2"/>
  <c r="F8" i="2"/>
  <c r="F7" i="2"/>
  <c r="F6" i="2"/>
  <c r="F5" i="2"/>
  <c r="E4" i="2"/>
  <c r="D4" i="2"/>
  <c r="F4" i="2" s="1"/>
  <c r="D20" i="1"/>
  <c r="C28" i="4" l="1"/>
  <c r="H12" i="1" s="1"/>
  <c r="E21" i="3"/>
  <c r="F14" i="3"/>
  <c r="D21" i="3"/>
  <c r="F21" i="3" s="1"/>
  <c r="F39" i="2"/>
  <c r="F22" i="2"/>
  <c r="F12" i="2"/>
  <c r="F32" i="2"/>
  <c r="E22" i="3"/>
  <c r="F4" i="3"/>
  <c r="D22" i="3" l="1"/>
  <c r="F22" i="3" s="1"/>
  <c r="F46" i="2"/>
  <c r="F44" i="2"/>
  <c r="C18" i="1" l="1"/>
  <c r="D13" i="1"/>
  <c r="D18" i="1"/>
  <c r="D17" i="1"/>
  <c r="I7" i="1"/>
  <c r="C17" i="1"/>
  <c r="D12" i="1"/>
  <c r="I8" i="1"/>
  <c r="D19" i="1"/>
  <c r="D21" i="1" s="1"/>
  <c r="D24" i="1" s="1"/>
  <c r="I9" i="1"/>
  <c r="I5" i="1"/>
  <c r="I6" i="1"/>
</calcChain>
</file>

<file path=xl/sharedStrings.xml><?xml version="1.0" encoding="utf-8"?>
<sst xmlns="http://schemas.openxmlformats.org/spreadsheetml/2006/main" count="305" uniqueCount="278">
  <si>
    <t>CHARTER HOUSE – AI AGENT MVP BUILD  |  ESTIMATION SUMMARY</t>
  </si>
  <si>
    <t>Variables</t>
  </si>
  <si>
    <t>Team Allocation</t>
  </si>
  <si>
    <t>S.N.  |  Pre-Requisites (Client Responsibility)</t>
  </si>
  <si>
    <t>SNO</t>
  </si>
  <si>
    <t>#</t>
  </si>
  <si>
    <t>Role</t>
  </si>
  <si>
    <t>Allocation %</t>
  </si>
  <si>
    <t>Est. Days</t>
  </si>
  <si>
    <t>Active Azure subscription with Contributor or Owner role on the target subscription.</t>
  </si>
  <si>
    <t>Front End</t>
  </si>
  <si>
    <t>No</t>
  </si>
  <si>
    <t>Project Manager</t>
  </si>
  <si>
    <t>33%</t>
  </si>
  <si>
    <t>Microsoft 365 E3 (or higher) licenses for all service and user accounts.</t>
  </si>
  <si>
    <t>Backend (AI Agent Dev)</t>
  </si>
  <si>
    <t>Yes</t>
  </si>
  <si>
    <t>AI Architect / Lead</t>
  </si>
  <si>
    <t>50%</t>
  </si>
  <si>
    <t>Copilot Studio license (standalone ~$200/tenant/mo or via M365 Copilot SKU).</t>
  </si>
  <si>
    <t>DevOps &amp; Cloud</t>
  </si>
  <si>
    <t>AI Engineer</t>
  </si>
  <si>
    <t>100%</t>
  </si>
  <si>
    <t>Read-access SharePoint credentials and Graph API permissions for ECI team.</t>
  </si>
  <si>
    <t>QA Engineer</t>
  </si>
  <si>
    <t>Microsoft Teams admin consent for custom Copilot Studio bot deployment.</t>
  </si>
  <si>
    <t>Activities</t>
  </si>
  <si>
    <t>DevOps / Cloud Eng</t>
  </si>
  <si>
    <t>25%</t>
  </si>
  <si>
    <t>DevTime (hrs)</t>
  </si>
  <si>
    <t>AI Agent Dev</t>
  </si>
  <si>
    <t>Monthly Infra Cost (Est.)</t>
  </si>
  <si>
    <t>S.N.  |  Out of Scope</t>
  </si>
  <si>
    <t>Automated / scheduled data ingestion pipelines from any source.</t>
  </si>
  <si>
    <t>Component</t>
  </si>
  <si>
    <t>Days</t>
  </si>
  <si>
    <t>Weeks</t>
  </si>
  <si>
    <t>Data ingestion from sources outside SharePoint, PDF, or Word.</t>
  </si>
  <si>
    <t>0</t>
  </si>
  <si>
    <t>Custom UI development for Teams, web, or mobile platforms.</t>
  </si>
  <si>
    <t>Building CI/CD pipelines or advanced deployment automation.</t>
  </si>
  <si>
    <t>PPT, Excel, image, audio, or video file types as agent inputs.</t>
  </si>
  <si>
    <t>Project Duration without UAT</t>
  </si>
  <si>
    <t>Long-term AI operations support or enterprise-wide AI platform.</t>
  </si>
  <si>
    <t>UAT</t>
  </si>
  <si>
    <t>Unstructured formats (scanned images, audio, video) as data sources.</t>
  </si>
  <si>
    <t>Project Duration with UAT</t>
  </si>
  <si>
    <t>Data classification, sensitivity labelling, or DLP integration.</t>
  </si>
  <si>
    <t>Project Duration incl. Leaves &amp; Holiday</t>
  </si>
  <si>
    <t>Any of the 9 remaining Charter House use cases not in MVP scope.</t>
  </si>
  <si>
    <t>Leaves &amp; Holiday</t>
  </si>
  <si>
    <t>Multi-language support for NDA review or DDQ drafting.</t>
  </si>
  <si>
    <t>DocuSign integration or automated email dispatch of outputs.</t>
  </si>
  <si>
    <t>LP-specific personalisation engine (Phase 2 roadmap item).</t>
  </si>
  <si>
    <t>Any features not explicitly listed in scope (subject to change request).</t>
  </si>
  <si>
    <t>S.N.  |  Assumptions</t>
  </si>
  <si>
    <t>AI accuracy estimated at 80–95% for structured document comparison tasks.</t>
  </si>
  <si>
    <t>Model accuracy depends on quality, consistency, and volume of source files provided.</t>
  </si>
  <si>
    <t>Charter House standard NDA template provided in editable Word format (baseline for comparison).</t>
  </si>
  <si>
    <t>UAT phase follows agreed timeline; client resources available and committed.</t>
  </si>
  <si>
    <t>Data classification and labelling not required for the POC phase.</t>
  </si>
  <si>
    <t>10–15 users participate in UAT, each running ~50–100 queries per agent.</t>
  </si>
  <si>
    <t>All UAT users have existing SharePoint / file access to source documents.</t>
  </si>
  <si>
    <t>Prompt logs stored in Azure Monitor / Log Analytics with 30-day default retention.</t>
  </si>
  <si>
    <t>Client is responsible for all Azure/cloud licensing, infrastructure, and data usage costs.</t>
  </si>
  <si>
    <t>Client will respond to ECI queries within 24–48 business hours.</t>
  </si>
  <si>
    <t>S.N.  |  Risks</t>
  </si>
  <si>
    <t>SharePoint API permissions or access issues delay data access. Mitigation: pre-req checklist sent in Week 1; 24-48hr SLA on client responses.</t>
  </si>
  <si>
    <t>NDA clause variation too broad for standard comparison logic. Mitigation: clause library reviewed and categorised in Discovery phase.</t>
  </si>
  <si>
    <t>S.N.  |  Definition of Done – Project Closure Criteria</t>
  </si>
  <si>
    <t xml:space="preserve">  ► DISCOVERY &amp; DESIGN</t>
  </si>
  <si>
    <t>KPI metrics and accuracy thresholds defined, documented, and agreed by client.</t>
  </si>
  <si>
    <t>NDA + DDQ source files confirmed as PDF/Word; volume confirmed ≥50 files per use case.</t>
  </si>
  <si>
    <t>Prompt templates provided and approved for both agents. Model selection justified.</t>
  </si>
  <si>
    <t xml:space="preserve">  ► ENVIRONMENT SETUP</t>
  </si>
  <si>
    <t>All Azure resources provisioned in dedicated Resource Group; private endpoints verified.</t>
  </si>
  <si>
    <t>Copilot Studio bot deployed to Charter House Teams tenant with test message confirmed.</t>
  </si>
  <si>
    <t xml:space="preserve">  ► NDA REVIEWER AGENT</t>
  </si>
  <si>
    <t>Document parser correctly extracts clauses from ≥95% of test NDA files.</t>
  </si>
  <si>
    <t>Clause comparison correctly identifies non-standard clauses in ≥80% of test cases.</t>
  </si>
  <si>
    <t>Word output with track changes generated; issues summary page included in all outputs.</t>
  </si>
  <si>
    <t>Agent accessible via Teams; NDA reviewed and output returned within 60 seconds.</t>
  </si>
  <si>
    <t xml:space="preserve">  ► LP QUESTIONNAIRE ENGINE</t>
  </si>
  <si>
    <t>DDQ parser extracts all questions from ≥95% of test DDQ files (PDF and Word).</t>
  </si>
  <si>
    <t>One-time ingestion complete — 50-100 historical DDQ responses indexed in AI Search.</t>
  </si>
  <si>
    <t>RAG retrieval returns relevant answers for ≥85% of test questions (similarity ≥70%).</t>
  </si>
  <si>
    <t>Low-confidence answers (&lt;70%) correctly flagged for human review in output document.</t>
  </si>
  <si>
    <t xml:space="preserve">  ► TESTING &amp; UAT</t>
  </si>
  <si>
    <t>10-15 Charter House users completed UAT (50-100 queries each) across both agents.</t>
  </si>
  <si>
    <t>UAT written sign-off received from named client approver for each agent.</t>
  </si>
  <si>
    <t xml:space="preserve">  ► PRODUCTION DEPLOYMENT &amp; HANDOVER</t>
  </si>
  <si>
    <t>Technical documentation and user guides finalised and delivered to client.</t>
  </si>
  <si>
    <t>Admin + end-user training sessions completed; recordings provided.</t>
  </si>
  <si>
    <t>CHARTER HOUSE – AI AGENT DEVELOPMENT &amp; INTEGRATION  (NDA Reviewer + LP Questionnaire Engine)</t>
  </si>
  <si>
    <t>Task / Phase</t>
  </si>
  <si>
    <t>Sub-task</t>
  </si>
  <si>
    <t>Dev Low (hrs)</t>
  </si>
  <si>
    <t>Dev High (hrs)</t>
  </si>
  <si>
    <t>Avg (hrs)</t>
  </si>
  <si>
    <t>Comments</t>
  </si>
  <si>
    <t>Phase 1: Discovery &amp; Design</t>
  </si>
  <si>
    <t>Kickoff workshop – scope confirmation &amp; stakeholder alignment</t>
  </si>
  <si>
    <t>Joint session with Charter House Legal &amp; IR SMEs</t>
  </si>
  <si>
    <t>Data assessment – source NDA files &amp; DDQ response library review</t>
  </si>
  <si>
    <t>Validate PDF/Word quality, structure, volume (50-100 files each)</t>
  </si>
  <si>
    <t>Architecture finalisation – AI Foundry, AI Search, App Service, Key Vault, Entra ID</t>
  </si>
  <si>
    <t>NDA orchestration logic design – clause extraction, comparison &amp; redline framework</t>
  </si>
  <si>
    <t>System prompt, tool definitions, output format design</t>
  </si>
  <si>
    <t>DDQ orchestration logic design – RAG architecture (reuse ELLA logic)</t>
  </si>
  <si>
    <t>Leverage existing ELLA DDQ agent; document adaptation required</t>
  </si>
  <si>
    <t>Evaluation framework – KPI metrics, accuracy thresholds, model selection (2 LLM x 2 embedding)</t>
  </si>
  <si>
    <t>Technical documentation v1 – architecture, comms plan, solution design doc</t>
  </si>
  <si>
    <t>ECI best practice format; client sign-off required</t>
  </si>
  <si>
    <t>Document parser – PDF/Word ingestion, clause boundary detection</t>
  </si>
  <si>
    <t>One-time ingestion – 50-100 historical NDA files → AI Search index</t>
  </si>
  <si>
    <t>Chunking strategy, metadata tagging, embedding generation</t>
  </si>
  <si>
    <t>Clause comparison engine – incoming clause vs Charter House standard position</t>
  </si>
  <si>
    <t>Prompt engineering; few-shot examples for each clause type</t>
  </si>
  <si>
    <t>Redline generation – Word track-changes output via python-docx</t>
  </si>
  <si>
    <t>Track changes applied to original NDA; format preservation</t>
  </si>
  <si>
    <t>Issues summary page – plain English summary of all flagged clauses</t>
  </si>
  <si>
    <t>Structured output appended to Word document</t>
  </si>
  <si>
    <t>Foundry Agent Service wiring – tools, system prompt, conversation flow</t>
  </si>
  <si>
    <t>Copilot Studio / Teams UI – file upload trigger, response cards</t>
  </si>
  <si>
    <t>Adaptive card output; file return to Teams user</t>
  </si>
  <si>
    <t>Prompt logging – all interactions → Log Analytics (audit trail)</t>
  </si>
  <si>
    <t>Per-query logging; source traceability</t>
  </si>
  <si>
    <t>ELLA DDQ agent reused — reduced hours vs NDA agent build</t>
  </si>
  <si>
    <t>Word output; each answer tagged to source DDQ + question ref</t>
  </si>
  <si>
    <t>Source traceability log for compliance</t>
  </si>
  <si>
    <t>Internal QA – end-to-end testing both agents; test case execution</t>
  </si>
  <si>
    <t>All acceptance criteria tested; defect log maintained</t>
  </si>
  <si>
    <t>Model comparison report; threshold validation</t>
  </si>
  <si>
    <t>UAT facilitation – 10-15 Charter House users, ~50-100 queries each</t>
  </si>
  <si>
    <t>Session management, issue logging, user feedback collection</t>
  </si>
  <si>
    <t>Bug fixes &amp; prompt tuning post-UAT</t>
  </si>
  <si>
    <t>Based on UAT feedback; P1/P2 issues resolved before sign-off</t>
  </si>
  <si>
    <t>Azure Monitor alerts &amp; workflow notification testing</t>
  </si>
  <si>
    <t>ECI standard format; delivered to client operational team</t>
  </si>
  <si>
    <t>Functional documentation – end-user guide for Teams interface</t>
  </si>
  <si>
    <t>Per-agent user guide; uploaded to client SharePoint</t>
  </si>
  <si>
    <t>Knowledge transfer – 1x admin session + 1x end-user training session</t>
  </si>
  <si>
    <t>1hr each; recorded for future reference</t>
  </si>
  <si>
    <t>Meetings &amp; Sync (10% of dev hours)</t>
  </si>
  <si>
    <t>Standups, client syncs, reviews</t>
  </si>
  <si>
    <t>TOTAL AI AGENT DEV HOURS</t>
  </si>
  <si>
    <t>CHARTER HOUSE – DEVOPS &amp; INFRASTRUCTURE PROVISIONING</t>
  </si>
  <si>
    <t>Azure Environment Setup</t>
  </si>
  <si>
    <t>Isolated network foundation; naming convention per ECI standard</t>
  </si>
  <si>
    <t>Private endpoints &amp; Private Link config (all services off public internet)</t>
  </si>
  <si>
    <t>AI Foundry, AI Search, App Service, Key Vault, Storage</t>
  </si>
  <si>
    <t>Model deployment; quota increase request in Week 1</t>
  </si>
  <si>
    <t>Azure AI Search (S1) provisioning &amp; index schema setup</t>
  </si>
  <si>
    <t>Two indexes: nda-clauses-index, ddq-answers-index</t>
  </si>
  <si>
    <t>Azure App Service (B2/P1v3 Linux) – backend API hosting</t>
  </si>
  <si>
    <t>REST API + MCP Server; auto-scale config</t>
  </si>
  <si>
    <t>Azure Key Vault – secrets config, Managed Identity RBAC</t>
  </si>
  <si>
    <t>No hardcoded secrets; Managed Identity for all service-to-service</t>
  </si>
  <si>
    <t>Azure Blob Storage – containers for source files &amp; outputs</t>
  </si>
  <si>
    <t>Hot tier LRS; lifecycle policy for staging cleanup</t>
  </si>
  <si>
    <t>Azure Monitor + Log Analytics workspace (30-day default retention)</t>
  </si>
  <si>
    <t>Prompt log ingestion; dashboard setup</t>
  </si>
  <si>
    <t>Microsoft Entra ID – Managed Identities, app registrations</t>
  </si>
  <si>
    <t>Service-to-service auth; Teams bot app registration</t>
  </si>
  <si>
    <t>Copilot Studio &amp; Teams Integration</t>
  </si>
  <si>
    <t>Copilot Studio environment provisioning + Teams bot channel config</t>
  </si>
  <si>
    <t>Bot channel setup; Teams admin consent required from client IT</t>
  </si>
  <si>
    <t>Teams admin consent + bot deployment to Charter House tenant</t>
  </si>
  <si>
    <t>Admin approval gating; fallback to web UI if Teams blocked</t>
  </si>
  <si>
    <t>Security Baseline &amp; Testing</t>
  </si>
  <si>
    <t>NSG rules, Entra Conditional Access, Key Vault access policies</t>
  </si>
  <si>
    <t>Security hardening; all services private endpoint verified</t>
  </si>
  <si>
    <t>UAT staging environment deployment + smoke test</t>
  </si>
  <si>
    <t>Mirror of production; used for UAT phase</t>
  </si>
  <si>
    <t>Standups, client syncs</t>
  </si>
  <si>
    <t>TOTAL DEVOPS HOURS</t>
  </si>
  <si>
    <t>Average for budgeting</t>
  </si>
  <si>
    <t>CHARTER HOUSE – AZURE INFRASTRUCTURE COST ESTIMATE  |  Live Pricing – March 2026  |  Pay-As-You-Go</t>
  </si>
  <si>
    <t>Service / Resource</t>
  </si>
  <si>
    <t>$/mo</t>
  </si>
  <si>
    <t>Pricing Model</t>
  </si>
  <si>
    <t>Notes / Assumptions</t>
  </si>
  <si>
    <t xml:space="preserve">  AI Services — Azure AI Foundry / OpenAI</t>
  </si>
  <si>
    <t>Pay-per-token</t>
  </si>
  <si>
    <t>Est. ~1.5M input + 0.5M output tokens/mo @ POC. $2.50/$10 per 1M. Source: azure.microsoft.com/pricing</t>
  </si>
  <si>
    <t>~10% of queries. $0.15/$0.60 per 1M tokens. Used for model benchmarking in Phase 4.</t>
  </si>
  <si>
    <t>~5M tokens total one-time ingestion. $0.022/1M tokens. Negligible ongoing cost.</t>
  </si>
  <si>
    <t>Subtotal — AI Services</t>
  </si>
  <si>
    <t xml:space="preserve">  Vector Storage — Azure AI Search</t>
  </si>
  <si>
    <t>Fixed monthly</t>
  </si>
  <si>
    <t>S1 required for semantic ranker + hybrid search. Supports both NDA clause index + DDQ answer index. Source: azure.microsoft.com/pricing/details/search</t>
  </si>
  <si>
    <t>Subtotal — Vector Storage</t>
  </si>
  <si>
    <t xml:space="preserve">  Compute — App Service &amp; Functions</t>
  </si>
  <si>
    <t>Hosts FastAPI backend / REST API. B2 sufficient for POC load. ~$75/mo. Upgrade to P1v3 at production.</t>
  </si>
  <si>
    <t>Pay-per-execution</t>
  </si>
  <si>
    <t>~500K executions/mo. First 1M free, then $0.20/1M. Near-zero cost for POC traffic levels.</t>
  </si>
  <si>
    <t>Pay-per-GB</t>
  </si>
  <si>
    <t>$0.018/GB/mo. Source file staging + output documents. Lifecycle policy cleans temp files.</t>
  </si>
  <si>
    <t>Subtotal — Compute</t>
  </si>
  <si>
    <t xml:space="preserve">  Security &amp; Identity</t>
  </si>
  <si>
    <t>Operations-based</t>
  </si>
  <si>
    <t>$0.03/10K ops. Holds API keys, connection strings. Managed Identity eliminates secret exposure.</t>
  </si>
  <si>
    <t>Included in M365 E3</t>
  </si>
  <si>
    <t>No additional cost. Covered by client M365 E3 license. Managed Identity for all service auth.</t>
  </si>
  <si>
    <t>Subtotal — Security &amp; Identity</t>
  </si>
  <si>
    <t xml:space="preserve">  Monitoring &amp; Observability</t>
  </si>
  <si>
    <t>Per GB ingested</t>
  </si>
  <si>
    <t>$2.30/GB after 5 GB free tier. 30-day default retention. All agent interactions logged here.</t>
  </si>
  <si>
    <t>Per alert rule</t>
  </si>
  <si>
    <t>10 alert rules. First 10 rules free. Workflow failure notifications; performance monitoring.</t>
  </si>
  <si>
    <t>Subtotal — Monitoring</t>
  </si>
  <si>
    <t xml:space="preserve">  Integration — Copilot Studio &amp; Teams</t>
  </si>
  <si>
    <t>Per tenant/month</t>
  </si>
  <si>
    <t>~$200/tenant/mo standalone OR included in M365 E5/Copilot SKU. Confirm client license tier.</t>
  </si>
  <si>
    <t>Subtotal — Integration</t>
  </si>
  <si>
    <t>TOTAL ESTIMATED MONTHLY INFRASTRUCTURE COST (POC)</t>
  </si>
  <si>
    <t>POC phase (10-week build, 10-15 users). Excludes one-time setup costs.</t>
  </si>
  <si>
    <t>CHARTER HOUSE – ESTIMATION VERSION HISTORY</t>
  </si>
  <si>
    <t>Version</t>
  </si>
  <si>
    <t>Changes / Notes</t>
  </si>
  <si>
    <t>Date</t>
  </si>
  <si>
    <t>Author</t>
  </si>
  <si>
    <t>v1.1</t>
  </si>
  <si>
    <t>Azure AD user accounts provisioned UAT users prior to UAT phase.</t>
  </si>
  <si>
    <t>Source files are PDF and Word only , all other formats excluded from MVP scope.</t>
  </si>
  <si>
    <t>50-100 historical files per use case (NDAs + DDQs) provided within Week 1.</t>
  </si>
  <si>
    <t>AI responses are advisory - all outputs require human review before use.</t>
  </si>
  <si>
    <t>One-time ingestion only , no automated real-time or scheduled data sync in MVP.</t>
  </si>
  <si>
    <t>AI accuracy below KPI threshold - NDA clause comparison or DDQ answer quality insufficient. Mitigation: multi-model testing; human review always included.</t>
  </si>
  <si>
    <t>Historical files insufficient quality or quantity (&lt;50 files). minimum viable dataset defined upfront.</t>
  </si>
  <si>
    <t>Copilot Studio Teams channel blocked by client IT/AAD restrictions. Mitigation: IT admin identified in Week 1.</t>
  </si>
  <si>
    <t xml:space="preserve">Word track-changes output incompatible with Charter House Word version. </t>
  </si>
  <si>
    <t>Architecture document reviewed and signed off by client.</t>
  </si>
  <si>
    <t>Entra ID Managed Identities configured - no hardcoded secrets; Key Vault policies set.</t>
  </si>
  <si>
    <t>One-time ingestion complete - 50-100 NDAs indexed in AI Search with metadata.</t>
  </si>
  <si>
    <t>Source traceability:  answer tagged to source DDQ + question reference.</t>
  </si>
  <si>
    <t>All unit and integration tests passing - minimum critical open defects at UAT closure.</t>
  </si>
  <si>
    <t>KPI validation report produced - accuracy vs threshold documented for both models.</t>
  </si>
  <si>
    <t>Tool registration, agent orchestration logic</t>
  </si>
  <si>
    <t>Question boundary detection, category tagging , reuse ELLA parsing logic</t>
  </si>
  <si>
    <t>DDQ parser - question extraction from PDF/Word uploads</t>
  </si>
  <si>
    <t>One-time ingestion - 50-100 historical DDQ responses -&gt; AI Search index</t>
  </si>
  <si>
    <t>RAG retrieval - semantic search against historical answers (top-k)</t>
  </si>
  <si>
    <t xml:space="preserve">Similarity scoring, source tagging, confidence threshold </t>
  </si>
  <si>
    <t>Answer rewriter - Charter House house-style enforcement</t>
  </si>
  <si>
    <t>Few-shot prompting; tone &amp; style alignment - Charter House  style</t>
  </si>
  <si>
    <t xml:space="preserve">Tool registration, orchestration logic </t>
  </si>
  <si>
    <t>Teams interface for IR team</t>
  </si>
  <si>
    <t>Prompt logging - all interactions → Log Analytics</t>
  </si>
  <si>
    <t>Copilot Studio / Teams UI - file upload, Q&amp;A display, review flow</t>
  </si>
  <si>
    <t>Foundry Agent Service wiring - tools, system prompt, multi-step flow</t>
  </si>
  <si>
    <t>Draft package output - Q&amp;A review document with source traceability</t>
  </si>
  <si>
    <t xml:space="preserve">KPI validation – accuracy testing </t>
  </si>
  <si>
    <t>Technical documentation – architecture diagrams, API specs</t>
  </si>
  <si>
    <t>Phase 3: Testing &amp; UAT</t>
  </si>
  <si>
    <t>Phase 4: Handover &amp; Knowledge Transfer</t>
  </si>
  <si>
    <t>Phase 2B: LP Questionnaire Answer Engine (DDQ Agent)</t>
  </si>
  <si>
    <t>Phase 2A: NDA Reviewer &amp; Standard Mark-Up Agent</t>
  </si>
  <si>
    <t>Azure Resource Group</t>
  </si>
  <si>
    <t>Azure AI Foundry hub + project – llm model deployments</t>
  </si>
  <si>
    <t>Prabhakar Gupta</t>
  </si>
  <si>
    <t>Note: With 2 AI Engineers running NDA + DDQ build in parallel, project can be completed within 5-6 weeks</t>
  </si>
  <si>
    <t>Azure OpenAI GPT-4o (Global PAYG) - Primary LLM</t>
  </si>
  <si>
    <t>Azure OpenAI GPT-4o-mini - Model comparison / fallback</t>
  </si>
  <si>
    <t>text-embedding-3-small - One-time ingestion (100-200 files)</t>
  </si>
  <si>
    <t>Azure AI Search - Standard S1 (1 replica, 1 partition)</t>
  </si>
  <si>
    <t>Azure App Service - B2 (2 vCPU, 3.5GB) Linux</t>
  </si>
  <si>
    <t xml:space="preserve">Azure Functions - Consumption Plan </t>
  </si>
  <si>
    <t>Azure Blob Storage - Hot LRS (~20 GB staging)</t>
  </si>
  <si>
    <t>Azure Key Vault - Standard tier (~50K operations/mo)</t>
  </si>
  <si>
    <t>Microsoft Entra ID - Managed Identity &amp; app registrations</t>
  </si>
  <si>
    <t>Azure Log Analytics - prompt logging (~5 GB/mo ingested)</t>
  </si>
  <si>
    <t>Azure Monitor - alert rules &amp; dashboards</t>
  </si>
  <si>
    <t>Microsoft Copilot Studio - Teams bot (both agents)</t>
  </si>
  <si>
    <t>NDA Reviewer Agent</t>
  </si>
  <si>
    <t>Legal &amp; HR Team · Upload NDA (PDF/Word) via Teams → AI compares each clause against Charter House standard positions → Word output with track changes + issues summary page</t>
  </si>
  <si>
    <t>LP Questionnaire Engine (DDQ Agent)</t>
  </si>
  <si>
    <t>Investor Relations · Upload DDQ (PDF/Word) via Teams → RAG retrieves best historical answers → AI rewrites in Charter House house style → draft Q&amp;A doc with source traceability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</si>
</sst>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.00"/>
  </numFmts>
  <fonts count="24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sz val="10"/>
      <name val="Calibri"/>
      <charset val="1"/>
    </font>
    <font>
      <b/>
      <sz val="10"/>
      <color rgb="FF000000"/>
      <name val="Calibri"/>
      <charset val="1"/>
    </font>
    <font>
      <b/>
      <sz val="11"/>
      <color rgb="FF000000"/>
      <name val="Calibri"/>
      <charset val="1"/>
    </font>
    <font>
      <b/>
      <sz val="10"/>
      <name val="Calibri"/>
      <charset val="1"/>
    </font>
    <font>
      <b/>
      <sz val="10"/>
      <color rgb="FF0070C0"/>
      <name val="Calibri"/>
      <charset val="1"/>
    </font>
    <font>
      <b/>
      <sz val="10"/>
      <color rgb="FF375623"/>
      <name val="Calibri"/>
      <charset val="1"/>
    </font>
    <font>
      <b/>
      <sz val="10"/>
      <color rgb="FF17375E"/>
      <name val="Calibri"/>
      <charset val="1"/>
    </font>
    <font>
      <i/>
      <sz val="10"/>
      <color rgb="FF595959"/>
      <name val="Calibri"/>
      <charset val="1"/>
    </font>
    <font>
      <b/>
      <sz val="11"/>
      <color rgb="FFFFFFFF"/>
      <name val="Calibri"/>
      <charset val="1"/>
    </font>
    <font>
      <b/>
      <sz val="12"/>
      <color rgb="FFFFFFFF"/>
      <name val="Calibri"/>
      <charset val="1"/>
    </font>
    <font>
      <sz val="10"/>
      <color rgb="FF595959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75623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2E75B6"/>
        <bgColor rgb="FF0070C0"/>
      </patternFill>
    </fill>
    <fill>
      <patternFill patternType="solid">
        <fgColor rgb="FFDEEAF1"/>
        <bgColor rgb="FFDEE6EF"/>
      </patternFill>
    </fill>
    <fill>
      <patternFill patternType="solid">
        <fgColor rgb="FFFF0000"/>
        <bgColor rgb="FFC0000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FF0000"/>
      </patternFill>
    </fill>
    <fill>
      <patternFill patternType="solid">
        <fgColor rgb="FFFFF0F0"/>
        <bgColor rgb="FFFFF8F0"/>
      </patternFill>
    </fill>
    <fill>
      <patternFill patternType="solid">
        <fgColor rgb="FFF2F2F2"/>
        <bgColor rgb="FFFFF0F0"/>
      </patternFill>
    </fill>
    <fill>
      <patternFill patternType="solid">
        <fgColor rgb="FFC6EFCE"/>
        <bgColor rgb="FFDEEAF1"/>
      </patternFill>
    </fill>
    <fill>
      <patternFill patternType="solid">
        <fgColor rgb="FF1F558B"/>
        <bgColor rgb="FF1F3864"/>
      </patternFill>
    </fill>
    <fill>
      <patternFill patternType="solid">
        <fgColor rgb="FFFFFFFF"/>
        <bgColor rgb="FFF7FBFF"/>
      </patternFill>
    </fill>
    <fill>
      <patternFill patternType="solid">
        <fgColor rgb="FFDEE6EF"/>
        <bgColor rgb="FFDEEAF1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0F0"/>
      </patternFill>
    </fill>
    <fill>
      <patternFill patternType="solid">
        <fgColor rgb="FFBDD7EE"/>
        <bgColor rgb="FFD9D9D9"/>
      </patternFill>
    </fill>
    <fill>
      <patternFill patternType="solid">
        <fgColor rgb="FF17375E"/>
        <bgColor rgb="FF1F3864"/>
      </patternFill>
    </fill>
    <fill>
      <patternFill patternType="solid">
        <fgColor rgb="FFF7FBFF"/>
        <bgColor rgb="FFFFFFFF"/>
      </patternFill>
    </fill>
    <fill>
      <patternFill patternType="solid">
        <fgColor rgb="FFFFF8F0"/>
        <bgColor rgb="FFFFF0F0"/>
      </patternFill>
    </fill>
    <fill>
      <patternFill patternType="solid">
        <fgColor theme="9"/>
        <bgColor rgb="FFFFF0F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6"/>
        <bgColor indexed="64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2" fillId="2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0" fillId="0" borderId="2" xfId="0" applyBorder="1"/>
    <xf numFmtId="165" fontId="6" fillId="7" borderId="2" xfId="0" applyNumberFormat="1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164" fontId="7" fillId="7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7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left" vertical="center" wrapText="1"/>
    </xf>
    <xf numFmtId="0" fontId="3" fillId="16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164" fontId="2" fillId="18" borderId="2" xfId="0" applyNumberFormat="1" applyFont="1" applyFill="1" applyBorder="1" applyAlignment="1">
      <alignment horizontal="center" vertical="center"/>
    </xf>
    <xf numFmtId="0" fontId="0" fillId="18" borderId="2" xfId="0" applyFill="1" applyBorder="1"/>
    <xf numFmtId="0" fontId="3" fillId="19" borderId="2" xfId="0" applyFont="1" applyFill="1" applyBorder="1" applyAlignment="1">
      <alignment horizontal="center" vertical="center"/>
    </xf>
    <xf numFmtId="0" fontId="0" fillId="19" borderId="2" xfId="0" applyFill="1" applyBorder="1"/>
    <xf numFmtId="0" fontId="3" fillId="19" borderId="2" xfId="0" applyFont="1" applyFill="1" applyBorder="1" applyAlignment="1">
      <alignment horizontal="left" vertical="center" wrapText="1"/>
    </xf>
    <xf numFmtId="1" fontId="3" fillId="19" borderId="2" xfId="0" applyNumberFormat="1" applyFont="1" applyFill="1" applyBorder="1" applyAlignment="1">
      <alignment horizontal="center" vertical="center"/>
    </xf>
    <xf numFmtId="164" fontId="3" fillId="19" borderId="2" xfId="0" applyNumberFormat="1" applyFont="1" applyFill="1" applyBorder="1" applyAlignment="1">
      <alignment horizontal="center" vertical="center"/>
    </xf>
    <xf numFmtId="0" fontId="0" fillId="13" borderId="2" xfId="0" applyFill="1" applyBorder="1"/>
    <xf numFmtId="1" fontId="3" fillId="13" borderId="2" xfId="0" applyNumberFormat="1" applyFont="1" applyFill="1" applyBorder="1" applyAlignment="1">
      <alignment horizontal="center" vertical="center"/>
    </xf>
    <xf numFmtId="164" fontId="3" fillId="13" borderId="2" xfId="0" applyNumberFormat="1" applyFont="1" applyFill="1" applyBorder="1" applyAlignment="1">
      <alignment horizontal="center" vertical="center"/>
    </xf>
    <xf numFmtId="0" fontId="0" fillId="10" borderId="0" xfId="0" applyFill="1"/>
    <xf numFmtId="0" fontId="3" fillId="20" borderId="2" xfId="0" applyFont="1" applyFill="1" applyBorder="1" applyAlignment="1">
      <alignment horizontal="center" vertical="center"/>
    </xf>
    <xf numFmtId="0" fontId="0" fillId="20" borderId="2" xfId="0" applyFill="1" applyBorder="1"/>
    <xf numFmtId="0" fontId="3" fillId="20" borderId="2" xfId="0" applyFont="1" applyFill="1" applyBorder="1" applyAlignment="1">
      <alignment horizontal="left" vertical="center" wrapText="1"/>
    </xf>
    <xf numFmtId="1" fontId="3" fillId="20" borderId="2" xfId="0" applyNumberFormat="1" applyFont="1" applyFill="1" applyBorder="1" applyAlignment="1">
      <alignment horizontal="center" vertical="center"/>
    </xf>
    <xf numFmtId="164" fontId="3" fillId="20" borderId="2" xfId="0" applyNumberFormat="1" applyFont="1" applyFill="1" applyBorder="1" applyAlignment="1">
      <alignment horizontal="center" vertical="center"/>
    </xf>
    <xf numFmtId="0" fontId="11" fillId="20" borderId="2" xfId="0" applyFont="1" applyFill="1" applyBorder="1" applyAlignment="1">
      <alignment horizontal="left" vertical="center" wrapText="1"/>
    </xf>
    <xf numFmtId="164" fontId="7" fillId="4" borderId="2" xfId="0" applyNumberFormat="1" applyFont="1" applyFill="1" applyBorder="1" applyAlignment="1">
      <alignment horizontal="center"/>
    </xf>
    <xf numFmtId="164" fontId="1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165" fontId="3" fillId="13" borderId="2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/>
    </xf>
    <xf numFmtId="0" fontId="0" fillId="4" borderId="2" xfId="0" applyFill="1" applyBorder="1"/>
    <xf numFmtId="165" fontId="1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4" fillId="13" borderId="2" xfId="0" applyFont="1" applyFill="1" applyBorder="1" applyAlignment="1">
      <alignment horizontal="left" vertical="center" wrapText="1"/>
    </xf>
    <xf numFmtId="0" fontId="15" fillId="19" borderId="2" xfId="0" applyFont="1" applyFill="1" applyBorder="1" applyAlignment="1">
      <alignment horizontal="left" vertical="center" wrapText="1"/>
    </xf>
    <xf numFmtId="0" fontId="15" fillId="13" borderId="2" xfId="0" applyFont="1" applyFill="1" applyBorder="1" applyAlignment="1">
      <alignment horizontal="left" vertical="center" wrapText="1"/>
    </xf>
    <xf numFmtId="0" fontId="16" fillId="18" borderId="1" xfId="0" applyFont="1" applyFill="1" applyBorder="1" applyAlignment="1">
      <alignment horizontal="left" vertical="center"/>
    </xf>
    <xf numFmtId="0" fontId="15" fillId="20" borderId="2" xfId="0" applyFont="1" applyFill="1" applyBorder="1" applyAlignment="1">
      <alignment horizontal="left" vertical="center" wrapText="1"/>
    </xf>
    <xf numFmtId="0" fontId="17" fillId="19" borderId="2" xfId="0" applyFont="1" applyFill="1" applyBorder="1" applyAlignment="1">
      <alignment horizontal="left" vertical="center" wrapText="1"/>
    </xf>
    <xf numFmtId="0" fontId="17" fillId="13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/>
    </xf>
    <xf numFmtId="0" fontId="17" fillId="13" borderId="2" xfId="0" applyFont="1" applyFill="1" applyBorder="1" applyAlignment="1">
      <alignment horizontal="left" vertical="center"/>
    </xf>
    <xf numFmtId="15" fontId="3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7" fillId="21" borderId="2" xfId="0" applyFont="1" applyFill="1" applyBorder="1" applyAlignment="1">
      <alignment horizontal="left" vertical="center"/>
    </xf>
    <xf numFmtId="0" fontId="0" fillId="22" borderId="0" xfId="0" applyFill="1"/>
    <xf numFmtId="164" fontId="7" fillId="23" borderId="2" xfId="0" applyNumberFormat="1" applyFont="1" applyFill="1" applyBorder="1" applyAlignment="1">
      <alignment horizontal="center"/>
    </xf>
    <xf numFmtId="0" fontId="7" fillId="24" borderId="2" xfId="0" applyFont="1" applyFill="1" applyBorder="1" applyAlignment="1">
      <alignment horizontal="left" vertical="center"/>
    </xf>
    <xf numFmtId="0" fontId="0" fillId="24" borderId="0" xfId="0" applyFill="1"/>
    <xf numFmtId="164" fontId="7" fillId="24" borderId="2" xfId="0" applyNumberFormat="1" applyFont="1" applyFill="1" applyBorder="1" applyAlignment="1">
      <alignment horizontal="center"/>
    </xf>
    <xf numFmtId="0" fontId="6" fillId="25" borderId="2" xfId="0" applyFont="1" applyFill="1" applyBorder="1" applyAlignment="1">
      <alignment horizontal="center"/>
    </xf>
    <xf numFmtId="0" fontId="18" fillId="11" borderId="1" xfId="0" applyFont="1" applyFill="1" applyBorder="1" applyAlignment="1">
      <alignment horizontal="left" vertical="center" wrapText="1"/>
    </xf>
    <xf numFmtId="0" fontId="19" fillId="0" borderId="0" xfId="0" applyFont="1" applyAlignment="1"/>
    <xf numFmtId="0" fontId="20" fillId="0" borderId="0" xfId="0" applyFont="1" applyAlignment="1">
      <alignment vertical="center"/>
    </xf>
    <xf numFmtId="0" fontId="21" fillId="0" borderId="0" xfId="0" applyFont="1" applyAlignment="1"/>
    <xf numFmtId="0" fontId="22" fillId="0" borderId="0" xfId="0" applyFont="1"/>
    <xf numFmtId="0" fontId="2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8F0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C6EFCE"/>
      <rgbColor rgb="FFFFF0F0"/>
      <rgbColor rgb="FFF2F2F2"/>
      <rgbColor rgb="FFF7FBFF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7375E"/>
      <rgbColor rgb="FF00B050"/>
      <rgbColor rgb="FF003300"/>
      <rgbColor rgb="FF375623"/>
      <rgbColor rgb="FF993300"/>
      <rgbColor rgb="FF993366"/>
      <rgbColor rgb="FF1F558B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523923</xdr:colOff>
      <xdr:row>4</xdr:row>
      <xdr:rowOff>104092</xdr:rowOff>
    </xdr:from>
    <xdr:to>
      <xdr:col>32</xdr:col>
      <xdr:colOff>428673</xdr:colOff>
      <xdr:row>33</xdr:row>
      <xdr:rowOff>108105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A5DAD-FAD3-7187-2D03-AEDFD9E9A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9595" y="824391"/>
          <a:ext cx="13249227" cy="5226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showGridLines="0" topLeftCell="A22" zoomScaleNormal="100" workbookViewId="0">
      <selection activeCell="G23" sqref="G23"/>
    </sheetView>
  </sheetViews>
  <sheetFormatPr defaultColWidth="8.6328125" defaultRowHeight="14.5" x14ac:dyDescent="0.35"/>
  <cols>
    <col min="1" max="1" width="6" customWidth="1"/>
    <col min="2" max="2" width="22" customWidth="1"/>
    <col min="3" max="3" width="12" customWidth="1"/>
    <col min="4" max="4" width="16.453125" customWidth="1"/>
    <col min="5" max="5" width="4" customWidth="1"/>
    <col min="6" max="6" width="6" customWidth="1"/>
    <col min="7" max="7" width="22" customWidth="1"/>
    <col min="8" max="8" width="13" customWidth="1"/>
    <col min="9" max="9" width="11" customWidth="1"/>
    <col min="10" max="11" width="4" customWidth="1"/>
    <col min="12" max="12" width="6" customWidth="1"/>
    <col min="13" max="13" width="77" customWidth="1"/>
  </cols>
  <sheetData>
    <row r="1" spans="1:13" ht="30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6" customHeight="1" x14ac:dyDescent="0.35"/>
    <row r="3" spans="1:13" ht="18" customHeight="1" x14ac:dyDescent="0.35">
      <c r="A3" s="9" t="s">
        <v>1</v>
      </c>
      <c r="B3" s="9"/>
      <c r="C3" s="9"/>
      <c r="D3" s="9"/>
      <c r="F3" s="9" t="s">
        <v>2</v>
      </c>
      <c r="G3" s="9"/>
      <c r="H3" s="9"/>
      <c r="I3" s="9"/>
      <c r="L3" s="9" t="s">
        <v>3</v>
      </c>
      <c r="M3" s="9"/>
    </row>
    <row r="4" spans="1:13" ht="34.5" customHeight="1" x14ac:dyDescent="0.35">
      <c r="A4" s="11" t="s">
        <v>4</v>
      </c>
      <c r="B4" s="11" t="s">
        <v>1</v>
      </c>
      <c r="C4" s="11" t="s">
        <v>5</v>
      </c>
      <c r="F4" s="11" t="s">
        <v>4</v>
      </c>
      <c r="G4" s="11" t="s">
        <v>6</v>
      </c>
      <c r="H4" s="11" t="s">
        <v>7</v>
      </c>
      <c r="I4" s="11" t="s">
        <v>8</v>
      </c>
      <c r="L4" s="12">
        <v>1</v>
      </c>
      <c r="M4" s="13" t="s">
        <v>9</v>
      </c>
    </row>
    <row r="5" spans="1:13" ht="34.5" customHeight="1" x14ac:dyDescent="0.35">
      <c r="A5" s="14">
        <v>1</v>
      </c>
      <c r="B5" s="15" t="s">
        <v>10</v>
      </c>
      <c r="C5" s="16" t="s">
        <v>11</v>
      </c>
      <c r="F5" s="14">
        <v>1</v>
      </c>
      <c r="G5" s="15" t="s">
        <v>12</v>
      </c>
      <c r="H5" s="14" t="s">
        <v>13</v>
      </c>
      <c r="I5" s="17">
        <f>('AI Agent Dev'!F46+'DevOps &amp; Cloud'!F22)/7*0.33</f>
        <v>17.320285714285713</v>
      </c>
      <c r="L5" s="12">
        <v>2</v>
      </c>
      <c r="M5" s="13" t="s">
        <v>14</v>
      </c>
    </row>
    <row r="6" spans="1:13" ht="34.5" customHeight="1" x14ac:dyDescent="0.35">
      <c r="A6" s="14">
        <v>2</v>
      </c>
      <c r="B6" s="15" t="s">
        <v>15</v>
      </c>
      <c r="C6" s="18" t="s">
        <v>16</v>
      </c>
      <c r="F6" s="14">
        <v>2</v>
      </c>
      <c r="G6" s="15" t="s">
        <v>17</v>
      </c>
      <c r="H6" s="14" t="s">
        <v>18</v>
      </c>
      <c r="I6" s="17">
        <f>('AI Agent Dev'!F46+'DevOps &amp; Cloud'!F22)/7*0.5</f>
        <v>26.24285714285714</v>
      </c>
      <c r="L6" s="12">
        <v>3</v>
      </c>
      <c r="M6" s="13" t="s">
        <v>19</v>
      </c>
    </row>
    <row r="7" spans="1:13" ht="34.5" customHeight="1" x14ac:dyDescent="0.35">
      <c r="A7" s="14">
        <v>3</v>
      </c>
      <c r="B7" s="15" t="s">
        <v>20</v>
      </c>
      <c r="C7" s="18" t="s">
        <v>16</v>
      </c>
      <c r="F7" s="14">
        <v>3</v>
      </c>
      <c r="G7" s="15" t="s">
        <v>21</v>
      </c>
      <c r="H7" s="14" t="s">
        <v>22</v>
      </c>
      <c r="I7" s="17">
        <f>('AI Agent Dev'!F46+'DevOps &amp; Cloud'!F22)/7*1</f>
        <v>52.48571428571428</v>
      </c>
      <c r="L7" s="12">
        <v>4</v>
      </c>
      <c r="M7" s="13" t="s">
        <v>23</v>
      </c>
    </row>
    <row r="8" spans="1:13" ht="34.5" customHeight="1" x14ac:dyDescent="0.35">
      <c r="F8" s="14">
        <v>4</v>
      </c>
      <c r="G8" s="15" t="s">
        <v>24</v>
      </c>
      <c r="H8" s="14" t="s">
        <v>18</v>
      </c>
      <c r="I8" s="17">
        <f>('AI Agent Dev'!F46+'DevOps &amp; Cloud'!F22)/7*0.5</f>
        <v>26.24285714285714</v>
      </c>
      <c r="L8" s="12">
        <v>5</v>
      </c>
      <c r="M8" s="13" t="s">
        <v>25</v>
      </c>
    </row>
    <row r="9" spans="1:13" ht="34.5" customHeight="1" x14ac:dyDescent="0.35">
      <c r="A9" s="9" t="s">
        <v>26</v>
      </c>
      <c r="B9" s="9"/>
      <c r="C9" s="9"/>
      <c r="D9" s="9"/>
      <c r="F9" s="14">
        <v>5</v>
      </c>
      <c r="G9" s="15" t="s">
        <v>27</v>
      </c>
      <c r="H9" s="14" t="s">
        <v>28</v>
      </c>
      <c r="I9" s="17">
        <f>('AI Agent Dev'!F46+'DevOps &amp; Cloud'!F22)/7*0.25</f>
        <v>13.12142857142857</v>
      </c>
      <c r="L9" s="12">
        <v>6</v>
      </c>
      <c r="M9" s="13" t="s">
        <v>223</v>
      </c>
    </row>
    <row r="10" spans="1:13" ht="34.5" customHeight="1" x14ac:dyDescent="0.35">
      <c r="A10" s="11" t="s">
        <v>4</v>
      </c>
      <c r="B10" s="11" t="s">
        <v>26</v>
      </c>
      <c r="C10" s="11"/>
      <c r="D10" s="11" t="s">
        <v>29</v>
      </c>
      <c r="L10" s="12"/>
      <c r="M10" s="13"/>
    </row>
    <row r="11" spans="1:13" ht="21" customHeight="1" x14ac:dyDescent="0.35">
      <c r="A11" s="14">
        <v>1</v>
      </c>
      <c r="B11" s="15" t="s">
        <v>10</v>
      </c>
      <c r="C11" s="19"/>
      <c r="D11" s="17">
        <v>0</v>
      </c>
    </row>
    <row r="12" spans="1:13" ht="18" customHeight="1" x14ac:dyDescent="0.35">
      <c r="A12" s="14">
        <v>2</v>
      </c>
      <c r="B12" s="15" t="s">
        <v>30</v>
      </c>
      <c r="C12" s="19"/>
      <c r="D12" s="17">
        <f>'AI Agent Dev'!F46</f>
        <v>310.75</v>
      </c>
      <c r="F12" s="8" t="s">
        <v>31</v>
      </c>
      <c r="G12" s="8"/>
      <c r="H12" s="20">
        <f>'Infra Cost'!C28</f>
        <v>581.65</v>
      </c>
    </row>
    <row r="13" spans="1:13" ht="18" customHeight="1" x14ac:dyDescent="0.35">
      <c r="A13" s="14">
        <v>3</v>
      </c>
      <c r="B13" s="15" t="s">
        <v>20</v>
      </c>
      <c r="C13" s="19"/>
      <c r="D13" s="17">
        <f>'DevOps &amp; Cloud'!F22</f>
        <v>56.650000000000006</v>
      </c>
      <c r="L13" s="7" t="s">
        <v>32</v>
      </c>
      <c r="M13" s="7"/>
    </row>
    <row r="14" spans="1:13" ht="34.5" customHeight="1" x14ac:dyDescent="0.35">
      <c r="L14" s="21">
        <v>1</v>
      </c>
      <c r="M14" s="22" t="s">
        <v>33</v>
      </c>
    </row>
    <row r="15" spans="1:13" ht="34.5" customHeight="1" x14ac:dyDescent="0.35">
      <c r="B15" s="11" t="s">
        <v>34</v>
      </c>
      <c r="C15" s="11" t="s">
        <v>35</v>
      </c>
      <c r="D15" s="11" t="s">
        <v>36</v>
      </c>
      <c r="L15" s="21">
        <v>2</v>
      </c>
      <c r="M15" s="22" t="s">
        <v>37</v>
      </c>
    </row>
    <row r="16" spans="1:13" ht="34.5" customHeight="1" x14ac:dyDescent="0.35">
      <c r="B16" s="15" t="s">
        <v>10</v>
      </c>
      <c r="C16" s="23" t="s">
        <v>38</v>
      </c>
      <c r="D16" s="23" t="s">
        <v>38</v>
      </c>
      <c r="L16" s="21">
        <v>3</v>
      </c>
      <c r="M16" s="22" t="s">
        <v>39</v>
      </c>
    </row>
    <row r="17" spans="1:13" ht="34.5" customHeight="1" x14ac:dyDescent="0.35">
      <c r="B17" s="15" t="s">
        <v>30</v>
      </c>
      <c r="C17" s="23">
        <f>'AI Agent Dev'!F46/7</f>
        <v>44.392857142857146</v>
      </c>
      <c r="D17" s="23">
        <f>'AI Agent Dev'!F46/35</f>
        <v>8.8785714285714281</v>
      </c>
      <c r="L17" s="21">
        <v>4</v>
      </c>
      <c r="M17" s="22" t="s">
        <v>40</v>
      </c>
    </row>
    <row r="18" spans="1:13" ht="34.5" customHeight="1" x14ac:dyDescent="0.35">
      <c r="B18" s="15" t="s">
        <v>20</v>
      </c>
      <c r="C18" s="23">
        <f>'DevOps &amp; Cloud'!F22/7</f>
        <v>8.0928571428571434</v>
      </c>
      <c r="D18" s="23">
        <f>'DevOps &amp; Cloud'!F22/35</f>
        <v>1.6185714285714288</v>
      </c>
      <c r="L18" s="21">
        <v>5</v>
      </c>
      <c r="M18" s="22" t="s">
        <v>41</v>
      </c>
    </row>
    <row r="19" spans="1:13" ht="34.5" customHeight="1" x14ac:dyDescent="0.35">
      <c r="B19" s="77" t="s">
        <v>42</v>
      </c>
      <c r="C19" s="78"/>
      <c r="D19" s="79">
        <f>'AI Agent Dev'!F46/35</f>
        <v>8.8785714285714281</v>
      </c>
      <c r="L19" s="21">
        <v>6</v>
      </c>
      <c r="M19" s="22" t="s">
        <v>43</v>
      </c>
    </row>
    <row r="20" spans="1:13" ht="34.5" customHeight="1" x14ac:dyDescent="0.35">
      <c r="B20" s="24" t="s">
        <v>44</v>
      </c>
      <c r="C20" s="80">
        <v>10</v>
      </c>
      <c r="D20" s="23">
        <f>C20/5</f>
        <v>2</v>
      </c>
      <c r="L20" s="21">
        <v>7</v>
      </c>
      <c r="M20" s="22" t="s">
        <v>45</v>
      </c>
    </row>
    <row r="21" spans="1:13" ht="34.5" customHeight="1" x14ac:dyDescent="0.35">
      <c r="B21" s="74" t="s">
        <v>46</v>
      </c>
      <c r="C21" s="75"/>
      <c r="D21" s="76">
        <f>SUM(D19,D20)</f>
        <v>10.878571428571428</v>
      </c>
      <c r="L21" s="21">
        <v>8</v>
      </c>
      <c r="M21" s="22" t="s">
        <v>47</v>
      </c>
    </row>
    <row r="22" spans="1:13" ht="34.5" customHeight="1" x14ac:dyDescent="0.35">
      <c r="B22" s="24" t="s">
        <v>48</v>
      </c>
      <c r="L22" s="21">
        <v>9</v>
      </c>
      <c r="M22" s="22" t="s">
        <v>49</v>
      </c>
    </row>
    <row r="23" spans="1:13" ht="34.5" customHeight="1" x14ac:dyDescent="0.35">
      <c r="B23" s="15" t="s">
        <v>50</v>
      </c>
      <c r="C23" s="26">
        <v>1</v>
      </c>
      <c r="D23" s="15" t="s">
        <v>36</v>
      </c>
      <c r="L23" s="21">
        <v>10</v>
      </c>
      <c r="M23" s="22" t="s">
        <v>51</v>
      </c>
    </row>
    <row r="24" spans="1:13" ht="34.5" customHeight="1" x14ac:dyDescent="0.35">
      <c r="B24" s="27" t="s">
        <v>36</v>
      </c>
      <c r="D24" s="25">
        <f>D21+C23</f>
        <v>11.878571428571428</v>
      </c>
      <c r="L24" s="21">
        <v>11</v>
      </c>
      <c r="M24" s="22" t="s">
        <v>52</v>
      </c>
    </row>
    <row r="25" spans="1:13" ht="34.5" customHeight="1" x14ac:dyDescent="0.35">
      <c r="A25" s="81" t="s">
        <v>261</v>
      </c>
      <c r="B25" s="6"/>
      <c r="C25" s="6"/>
      <c r="D25" s="6"/>
      <c r="L25" s="21">
        <v>12</v>
      </c>
      <c r="M25" s="22" t="s">
        <v>53</v>
      </c>
    </row>
    <row r="26" spans="1:13" ht="34.5" customHeight="1" x14ac:dyDescent="0.35">
      <c r="L26" s="21">
        <v>13</v>
      </c>
      <c r="M26" s="22" t="s">
        <v>54</v>
      </c>
    </row>
    <row r="27" spans="1:13" ht="18" customHeight="1" x14ac:dyDescent="0.35">
      <c r="L27" s="5" t="s">
        <v>55</v>
      </c>
      <c r="M27" s="5"/>
    </row>
    <row r="28" spans="1:13" ht="34.5" customHeight="1" x14ac:dyDescent="0.35">
      <c r="L28" s="28">
        <v>1</v>
      </c>
      <c r="M28" s="29" t="s">
        <v>224</v>
      </c>
    </row>
    <row r="29" spans="1:13" ht="34.5" customHeight="1" x14ac:dyDescent="0.35">
      <c r="L29" s="30">
        <v>2</v>
      </c>
      <c r="M29" s="31" t="s">
        <v>225</v>
      </c>
    </row>
    <row r="30" spans="1:13" ht="34.5" customHeight="1" x14ac:dyDescent="0.35">
      <c r="L30" s="28">
        <v>3</v>
      </c>
      <c r="M30" s="29" t="s">
        <v>56</v>
      </c>
    </row>
    <row r="31" spans="1:13" ht="34.5" customHeight="1" x14ac:dyDescent="0.35">
      <c r="L31" s="30">
        <v>4</v>
      </c>
      <c r="M31" s="31" t="s">
        <v>226</v>
      </c>
    </row>
    <row r="32" spans="1:13" ht="34.5" customHeight="1" x14ac:dyDescent="0.35">
      <c r="L32" s="28">
        <v>5</v>
      </c>
      <c r="M32" s="29" t="s">
        <v>57</v>
      </c>
    </row>
    <row r="33" spans="12:13" ht="34.5" customHeight="1" x14ac:dyDescent="0.35">
      <c r="L33" s="30">
        <v>8</v>
      </c>
      <c r="M33" s="31" t="s">
        <v>58</v>
      </c>
    </row>
    <row r="34" spans="12:13" ht="34.5" customHeight="1" x14ac:dyDescent="0.35">
      <c r="L34" s="28">
        <v>9</v>
      </c>
      <c r="M34" s="29" t="s">
        <v>227</v>
      </c>
    </row>
    <row r="35" spans="12:13" ht="34.5" customHeight="1" x14ac:dyDescent="0.35">
      <c r="L35" s="30">
        <v>10</v>
      </c>
      <c r="M35" s="31" t="s">
        <v>59</v>
      </c>
    </row>
    <row r="36" spans="12:13" ht="34.5" customHeight="1" x14ac:dyDescent="0.35">
      <c r="L36" s="28">
        <v>11</v>
      </c>
      <c r="M36" s="29" t="s">
        <v>60</v>
      </c>
    </row>
    <row r="37" spans="12:13" ht="34.5" customHeight="1" x14ac:dyDescent="0.35">
      <c r="L37" s="30">
        <v>12</v>
      </c>
      <c r="M37" s="31" t="s">
        <v>61</v>
      </c>
    </row>
    <row r="38" spans="12:13" ht="34.5" customHeight="1" x14ac:dyDescent="0.35">
      <c r="L38" s="28">
        <v>13</v>
      </c>
      <c r="M38" s="29" t="s">
        <v>62</v>
      </c>
    </row>
    <row r="39" spans="12:13" ht="34.5" customHeight="1" x14ac:dyDescent="0.35">
      <c r="L39" s="30">
        <v>14</v>
      </c>
      <c r="M39" s="31" t="s">
        <v>63</v>
      </c>
    </row>
    <row r="40" spans="12:13" ht="34.5" customHeight="1" x14ac:dyDescent="0.35">
      <c r="L40" s="28">
        <v>15</v>
      </c>
      <c r="M40" s="29" t="s">
        <v>64</v>
      </c>
    </row>
    <row r="41" spans="12:13" ht="34.5" customHeight="1" x14ac:dyDescent="0.35">
      <c r="L41" s="30">
        <v>16</v>
      </c>
      <c r="M41" s="31" t="s">
        <v>65</v>
      </c>
    </row>
    <row r="42" spans="12:13" ht="18" customHeight="1" x14ac:dyDescent="0.35">
      <c r="L42" s="4" t="s">
        <v>66</v>
      </c>
      <c r="M42" s="4"/>
    </row>
    <row r="43" spans="12:13" ht="34.5" customHeight="1" x14ac:dyDescent="0.35">
      <c r="L43" s="32">
        <v>1</v>
      </c>
      <c r="M43" s="33" t="s">
        <v>228</v>
      </c>
    </row>
    <row r="44" spans="12:13" ht="34.5" customHeight="1" x14ac:dyDescent="0.35">
      <c r="L44" s="32">
        <v>2</v>
      </c>
      <c r="M44" s="33" t="s">
        <v>229</v>
      </c>
    </row>
    <row r="45" spans="12:13" ht="34.5" customHeight="1" x14ac:dyDescent="0.35">
      <c r="L45" s="32">
        <v>5</v>
      </c>
      <c r="M45" s="33" t="s">
        <v>230</v>
      </c>
    </row>
    <row r="46" spans="12:13" ht="34.5" customHeight="1" x14ac:dyDescent="0.35">
      <c r="L46" s="32">
        <v>7</v>
      </c>
      <c r="M46" s="33" t="s">
        <v>67</v>
      </c>
    </row>
    <row r="47" spans="12:13" ht="34.5" customHeight="1" x14ac:dyDescent="0.35">
      <c r="L47" s="32">
        <v>8</v>
      </c>
      <c r="M47" s="33" t="s">
        <v>231</v>
      </c>
    </row>
    <row r="48" spans="12:13" ht="34.5" customHeight="1" x14ac:dyDescent="0.35">
      <c r="L48" s="32">
        <v>12</v>
      </c>
      <c r="M48" s="33" t="s">
        <v>68</v>
      </c>
    </row>
    <row r="49" spans="12:13" ht="18" customHeight="1" x14ac:dyDescent="0.35">
      <c r="L49" s="9" t="s">
        <v>69</v>
      </c>
      <c r="M49" s="9"/>
    </row>
    <row r="50" spans="12:13" ht="15.75" customHeight="1" x14ac:dyDescent="0.35">
      <c r="L50" s="3" t="s">
        <v>70</v>
      </c>
      <c r="M50" s="3"/>
    </row>
    <row r="51" spans="12:13" ht="36" customHeight="1" x14ac:dyDescent="0.35">
      <c r="L51" s="34">
        <v>1</v>
      </c>
      <c r="M51" s="35" t="s">
        <v>232</v>
      </c>
    </row>
    <row r="52" spans="12:13" ht="36" customHeight="1" x14ac:dyDescent="0.35">
      <c r="L52" s="34">
        <v>2</v>
      </c>
      <c r="M52" s="35" t="s">
        <v>71</v>
      </c>
    </row>
    <row r="53" spans="12:13" ht="36" customHeight="1" x14ac:dyDescent="0.35">
      <c r="L53" s="34">
        <v>3</v>
      </c>
      <c r="M53" s="35" t="s">
        <v>72</v>
      </c>
    </row>
    <row r="54" spans="12:13" ht="36" customHeight="1" x14ac:dyDescent="0.35">
      <c r="L54" s="34">
        <v>4</v>
      </c>
      <c r="M54" s="35" t="s">
        <v>73</v>
      </c>
    </row>
    <row r="55" spans="12:13" ht="15.75" customHeight="1" x14ac:dyDescent="0.35">
      <c r="L55" s="3" t="s">
        <v>74</v>
      </c>
      <c r="M55" s="3"/>
    </row>
    <row r="56" spans="12:13" ht="36" customHeight="1" x14ac:dyDescent="0.35">
      <c r="L56" s="34">
        <v>1</v>
      </c>
      <c r="M56" s="35" t="s">
        <v>75</v>
      </c>
    </row>
    <row r="57" spans="12:13" ht="36" customHeight="1" x14ac:dyDescent="0.35">
      <c r="L57" s="34">
        <v>2</v>
      </c>
      <c r="M57" s="35" t="s">
        <v>233</v>
      </c>
    </row>
    <row r="58" spans="12:13" ht="36" customHeight="1" x14ac:dyDescent="0.35">
      <c r="L58" s="34">
        <v>3</v>
      </c>
      <c r="M58" s="35" t="s">
        <v>76</v>
      </c>
    </row>
    <row r="59" spans="12:13" ht="15.75" customHeight="1" x14ac:dyDescent="0.35">
      <c r="L59" s="3" t="s">
        <v>77</v>
      </c>
      <c r="M59" s="3"/>
    </row>
    <row r="60" spans="12:13" ht="36" customHeight="1" x14ac:dyDescent="0.35">
      <c r="L60" s="34">
        <v>1</v>
      </c>
      <c r="M60" s="35" t="s">
        <v>78</v>
      </c>
    </row>
    <row r="61" spans="12:13" ht="36" customHeight="1" x14ac:dyDescent="0.35">
      <c r="L61" s="34">
        <v>2</v>
      </c>
      <c r="M61" s="35" t="s">
        <v>234</v>
      </c>
    </row>
    <row r="62" spans="12:13" ht="36" customHeight="1" x14ac:dyDescent="0.35">
      <c r="L62" s="34">
        <v>3</v>
      </c>
      <c r="M62" s="35" t="s">
        <v>79</v>
      </c>
    </row>
    <row r="63" spans="12:13" ht="36" customHeight="1" x14ac:dyDescent="0.35">
      <c r="L63" s="34">
        <v>4</v>
      </c>
      <c r="M63" s="35" t="s">
        <v>80</v>
      </c>
    </row>
    <row r="64" spans="12:13" ht="36" customHeight="1" x14ac:dyDescent="0.35">
      <c r="L64" s="34">
        <v>5</v>
      </c>
      <c r="M64" s="35" t="s">
        <v>81</v>
      </c>
    </row>
    <row r="65" spans="12:13" ht="15.75" customHeight="1" x14ac:dyDescent="0.35">
      <c r="L65" s="3" t="s">
        <v>82</v>
      </c>
      <c r="M65" s="3"/>
    </row>
    <row r="66" spans="12:13" ht="36" customHeight="1" x14ac:dyDescent="0.35">
      <c r="L66" s="34">
        <v>1</v>
      </c>
      <c r="M66" s="35" t="s">
        <v>83</v>
      </c>
    </row>
    <row r="67" spans="12:13" ht="36" customHeight="1" x14ac:dyDescent="0.35">
      <c r="L67" s="34">
        <v>2</v>
      </c>
      <c r="M67" s="35" t="s">
        <v>84</v>
      </c>
    </row>
    <row r="68" spans="12:13" ht="36" customHeight="1" x14ac:dyDescent="0.35">
      <c r="L68" s="34">
        <v>3</v>
      </c>
      <c r="M68" s="35" t="s">
        <v>85</v>
      </c>
    </row>
    <row r="69" spans="12:13" ht="36" customHeight="1" x14ac:dyDescent="0.35">
      <c r="L69" s="34">
        <v>4</v>
      </c>
      <c r="M69" s="35" t="s">
        <v>86</v>
      </c>
    </row>
    <row r="70" spans="12:13" ht="36" customHeight="1" x14ac:dyDescent="0.35">
      <c r="L70" s="34">
        <v>5</v>
      </c>
      <c r="M70" s="35" t="s">
        <v>235</v>
      </c>
    </row>
    <row r="71" spans="12:13" ht="15.75" customHeight="1" x14ac:dyDescent="0.35">
      <c r="L71" s="3" t="s">
        <v>87</v>
      </c>
      <c r="M71" s="3"/>
    </row>
    <row r="72" spans="12:13" ht="36" customHeight="1" x14ac:dyDescent="0.35">
      <c r="L72" s="34">
        <v>1</v>
      </c>
      <c r="M72" s="35" t="s">
        <v>236</v>
      </c>
    </row>
    <row r="73" spans="12:13" ht="36" customHeight="1" x14ac:dyDescent="0.35">
      <c r="L73" s="34">
        <v>2</v>
      </c>
      <c r="M73" s="35" t="s">
        <v>88</v>
      </c>
    </row>
    <row r="74" spans="12:13" ht="36" customHeight="1" x14ac:dyDescent="0.35">
      <c r="L74" s="34">
        <v>3</v>
      </c>
      <c r="M74" s="35" t="s">
        <v>237</v>
      </c>
    </row>
    <row r="75" spans="12:13" ht="36" customHeight="1" x14ac:dyDescent="0.35">
      <c r="L75" s="34">
        <v>4</v>
      </c>
      <c r="M75" s="35" t="s">
        <v>89</v>
      </c>
    </row>
    <row r="76" spans="12:13" ht="15.75" customHeight="1" x14ac:dyDescent="0.35">
      <c r="L76" s="3" t="s">
        <v>90</v>
      </c>
      <c r="M76" s="3"/>
    </row>
    <row r="77" spans="12:13" ht="36" customHeight="1" x14ac:dyDescent="0.35">
      <c r="L77" s="34">
        <v>2</v>
      </c>
      <c r="M77" s="35" t="s">
        <v>91</v>
      </c>
    </row>
    <row r="78" spans="12:13" ht="36" customHeight="1" x14ac:dyDescent="0.35">
      <c r="L78" s="34">
        <v>4</v>
      </c>
      <c r="M78" s="35" t="s">
        <v>92</v>
      </c>
    </row>
  </sheetData>
  <mergeCells count="17">
    <mergeCell ref="L71:M71"/>
    <mergeCell ref="L76:M76"/>
    <mergeCell ref="L49:M49"/>
    <mergeCell ref="L50:M50"/>
    <mergeCell ref="L55:M55"/>
    <mergeCell ref="L59:M59"/>
    <mergeCell ref="L65:M65"/>
    <mergeCell ref="F12:G12"/>
    <mergeCell ref="L13:M13"/>
    <mergeCell ref="A25:D25"/>
    <mergeCell ref="L27:M27"/>
    <mergeCell ref="L42:M42"/>
    <mergeCell ref="A1:M1"/>
    <mergeCell ref="A3:D3"/>
    <mergeCell ref="F3:I3"/>
    <mergeCell ref="L3:M3"/>
    <mergeCell ref="A9:D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showGridLines="0" tabSelected="1" topLeftCell="A39" zoomScaleNormal="100" workbookViewId="0">
      <selection activeCell="F50" sqref="F50"/>
    </sheetView>
  </sheetViews>
  <sheetFormatPr defaultColWidth="8.6328125" defaultRowHeight="14.5" x14ac:dyDescent="0.35"/>
  <cols>
    <col min="1" max="1" width="5" customWidth="1"/>
    <col min="2" max="2" width="28" customWidth="1"/>
    <col min="3" max="3" width="46" customWidth="1"/>
    <col min="4" max="5" width="14" customWidth="1"/>
    <col min="6" max="6" width="12" customWidth="1"/>
    <col min="7" max="7" width="44" customWidth="1"/>
  </cols>
  <sheetData>
    <row r="1" spans="1:7" ht="30" customHeight="1" x14ac:dyDescent="0.35">
      <c r="A1" s="10" t="s">
        <v>93</v>
      </c>
      <c r="B1" s="10"/>
      <c r="C1" s="10"/>
      <c r="D1" s="10"/>
      <c r="E1" s="10"/>
      <c r="F1" s="10"/>
      <c r="G1" s="10"/>
    </row>
    <row r="2" spans="1:7" ht="4.5" customHeight="1" x14ac:dyDescent="0.35"/>
    <row r="3" spans="1:7" ht="19.5" customHeight="1" x14ac:dyDescent="0.35">
      <c r="A3" s="36" t="s">
        <v>5</v>
      </c>
      <c r="B3" s="36" t="s">
        <v>94</v>
      </c>
      <c r="C3" s="36" t="s">
        <v>95</v>
      </c>
      <c r="D3" s="36" t="s">
        <v>96</v>
      </c>
      <c r="E3" s="36" t="s">
        <v>97</v>
      </c>
      <c r="F3" s="36" t="s">
        <v>98</v>
      </c>
      <c r="G3" s="36" t="s">
        <v>99</v>
      </c>
    </row>
    <row r="4" spans="1:7" ht="24" customHeight="1" x14ac:dyDescent="0.35">
      <c r="A4" s="2" t="s">
        <v>100</v>
      </c>
      <c r="B4" s="2"/>
      <c r="C4" s="2"/>
      <c r="D4" s="37">
        <f>SUM(D5:D11)</f>
        <v>56</v>
      </c>
      <c r="E4" s="37">
        <f>SUM(E5:E11)</f>
        <v>78</v>
      </c>
      <c r="F4" s="37">
        <f t="shared" ref="F4:F11" si="0">(D4+E4)/2</f>
        <v>67</v>
      </c>
      <c r="G4" s="38"/>
    </row>
    <row r="5" spans="1:7" ht="30" customHeight="1" x14ac:dyDescent="0.35">
      <c r="A5" s="39">
        <v>1</v>
      </c>
      <c r="B5" s="40"/>
      <c r="C5" s="41" t="s">
        <v>101</v>
      </c>
      <c r="D5" s="42">
        <v>8</v>
      </c>
      <c r="E5" s="42">
        <v>10</v>
      </c>
      <c r="F5" s="43">
        <f t="shared" si="0"/>
        <v>9</v>
      </c>
      <c r="G5" s="64" t="s">
        <v>102</v>
      </c>
    </row>
    <row r="6" spans="1:7" ht="30" customHeight="1" x14ac:dyDescent="0.35">
      <c r="A6" s="28">
        <v>2</v>
      </c>
      <c r="B6" s="44"/>
      <c r="C6" s="29" t="s">
        <v>103</v>
      </c>
      <c r="D6" s="45">
        <v>8</v>
      </c>
      <c r="E6" s="45">
        <v>12</v>
      </c>
      <c r="F6" s="46">
        <f t="shared" si="0"/>
        <v>10</v>
      </c>
      <c r="G6" s="65" t="s">
        <v>104</v>
      </c>
    </row>
    <row r="7" spans="1:7" ht="30" customHeight="1" x14ac:dyDescent="0.35">
      <c r="A7" s="39">
        <v>3</v>
      </c>
      <c r="B7" s="40"/>
      <c r="C7" s="41" t="s">
        <v>105</v>
      </c>
      <c r="D7" s="42">
        <v>8</v>
      </c>
      <c r="E7" s="42">
        <v>12</v>
      </c>
      <c r="F7" s="43">
        <f t="shared" si="0"/>
        <v>10</v>
      </c>
      <c r="G7" s="64"/>
    </row>
    <row r="8" spans="1:7" ht="30" customHeight="1" x14ac:dyDescent="0.35">
      <c r="A8" s="28">
        <v>4</v>
      </c>
      <c r="B8" s="44"/>
      <c r="C8" s="29" t="s">
        <v>106</v>
      </c>
      <c r="D8" s="45">
        <v>8</v>
      </c>
      <c r="E8" s="45">
        <v>12</v>
      </c>
      <c r="F8" s="46">
        <f t="shared" si="0"/>
        <v>10</v>
      </c>
      <c r="G8" s="65" t="s">
        <v>107</v>
      </c>
    </row>
    <row r="9" spans="1:7" ht="30" customHeight="1" x14ac:dyDescent="0.35">
      <c r="A9" s="39">
        <v>5</v>
      </c>
      <c r="B9" s="40"/>
      <c r="C9" s="41" t="s">
        <v>108</v>
      </c>
      <c r="D9" s="42">
        <v>6</v>
      </c>
      <c r="E9" s="42">
        <v>8</v>
      </c>
      <c r="F9" s="43">
        <f t="shared" si="0"/>
        <v>7</v>
      </c>
      <c r="G9" s="64" t="s">
        <v>109</v>
      </c>
    </row>
    <row r="10" spans="1:7" ht="30" customHeight="1" x14ac:dyDescent="0.35">
      <c r="A10" s="28">
        <v>6</v>
      </c>
      <c r="B10" s="44"/>
      <c r="C10" s="29" t="s">
        <v>110</v>
      </c>
      <c r="D10" s="45">
        <v>6</v>
      </c>
      <c r="E10" s="45">
        <v>8</v>
      </c>
      <c r="F10" s="46">
        <f t="shared" si="0"/>
        <v>7</v>
      </c>
      <c r="G10" s="65"/>
    </row>
    <row r="11" spans="1:7" ht="30" customHeight="1" x14ac:dyDescent="0.35">
      <c r="A11" s="39">
        <v>7</v>
      </c>
      <c r="B11" s="40"/>
      <c r="C11" s="41" t="s">
        <v>111</v>
      </c>
      <c r="D11" s="42">
        <v>12</v>
      </c>
      <c r="E11" s="42">
        <v>16</v>
      </c>
      <c r="F11" s="43">
        <f t="shared" si="0"/>
        <v>14</v>
      </c>
      <c r="G11" s="64" t="s">
        <v>112</v>
      </c>
    </row>
    <row r="12" spans="1:7" ht="24" customHeight="1" x14ac:dyDescent="0.35">
      <c r="A12" s="66" t="s">
        <v>257</v>
      </c>
      <c r="B12" s="2"/>
      <c r="C12" s="2"/>
      <c r="D12" s="37">
        <f>SUM(D13:D20)</f>
        <v>71</v>
      </c>
      <c r="E12" s="37">
        <f>SUM(E13:E20)</f>
        <v>96</v>
      </c>
      <c r="F12" s="37">
        <f t="shared" ref="F12:F20" si="1">(D12+E12)/2</f>
        <v>83.5</v>
      </c>
      <c r="G12" s="38"/>
    </row>
    <row r="13" spans="1:7" ht="30" customHeight="1" x14ac:dyDescent="0.35">
      <c r="A13" s="48">
        <v>1</v>
      </c>
      <c r="B13" s="49"/>
      <c r="C13" s="50" t="s">
        <v>113</v>
      </c>
      <c r="D13" s="51">
        <v>12</v>
      </c>
      <c r="E13" s="51">
        <v>16</v>
      </c>
      <c r="F13" s="52">
        <f t="shared" si="1"/>
        <v>14</v>
      </c>
      <c r="G13" s="53"/>
    </row>
    <row r="14" spans="1:7" ht="30" customHeight="1" x14ac:dyDescent="0.35">
      <c r="A14" s="28">
        <v>2</v>
      </c>
      <c r="B14" s="44"/>
      <c r="C14" s="29" t="s">
        <v>114</v>
      </c>
      <c r="D14" s="45">
        <v>8</v>
      </c>
      <c r="E14" s="45">
        <v>12</v>
      </c>
      <c r="F14" s="46">
        <f t="shared" si="1"/>
        <v>10</v>
      </c>
      <c r="G14" s="65" t="s">
        <v>115</v>
      </c>
    </row>
    <row r="15" spans="1:7" ht="30" customHeight="1" x14ac:dyDescent="0.35">
      <c r="A15" s="48">
        <v>3</v>
      </c>
      <c r="B15" s="49"/>
      <c r="C15" s="50" t="s">
        <v>116</v>
      </c>
      <c r="D15" s="51">
        <v>16</v>
      </c>
      <c r="E15" s="51">
        <v>20</v>
      </c>
      <c r="F15" s="52">
        <f t="shared" si="1"/>
        <v>18</v>
      </c>
      <c r="G15" s="67" t="s">
        <v>117</v>
      </c>
    </row>
    <row r="16" spans="1:7" ht="30" customHeight="1" x14ac:dyDescent="0.35">
      <c r="A16" s="28">
        <v>4</v>
      </c>
      <c r="B16" s="44"/>
      <c r="C16" s="29" t="s">
        <v>118</v>
      </c>
      <c r="D16" s="45">
        <v>12</v>
      </c>
      <c r="E16" s="45">
        <v>16</v>
      </c>
      <c r="F16" s="46">
        <f t="shared" si="1"/>
        <v>14</v>
      </c>
      <c r="G16" s="65" t="s">
        <v>119</v>
      </c>
    </row>
    <row r="17" spans="1:7" ht="30" customHeight="1" x14ac:dyDescent="0.35">
      <c r="A17" s="48">
        <v>5</v>
      </c>
      <c r="B17" s="49"/>
      <c r="C17" s="50" t="s">
        <v>120</v>
      </c>
      <c r="D17" s="51">
        <v>6</v>
      </c>
      <c r="E17" s="51">
        <v>8</v>
      </c>
      <c r="F17" s="52">
        <f t="shared" si="1"/>
        <v>7</v>
      </c>
      <c r="G17" s="67" t="s">
        <v>121</v>
      </c>
    </row>
    <row r="18" spans="1:7" ht="30" customHeight="1" x14ac:dyDescent="0.35">
      <c r="A18" s="28">
        <v>6</v>
      </c>
      <c r="B18" s="44"/>
      <c r="C18" s="29" t="s">
        <v>122</v>
      </c>
      <c r="D18" s="45">
        <v>8</v>
      </c>
      <c r="E18" s="45">
        <v>12</v>
      </c>
      <c r="F18" s="46">
        <f t="shared" si="1"/>
        <v>10</v>
      </c>
      <c r="G18" s="65" t="s">
        <v>238</v>
      </c>
    </row>
    <row r="19" spans="1:7" ht="30" customHeight="1" x14ac:dyDescent="0.35">
      <c r="A19" s="48">
        <v>7</v>
      </c>
      <c r="B19" s="49"/>
      <c r="C19" s="50" t="s">
        <v>123</v>
      </c>
      <c r="D19" s="51">
        <v>6</v>
      </c>
      <c r="E19" s="51">
        <v>8</v>
      </c>
      <c r="F19" s="52">
        <f t="shared" si="1"/>
        <v>7</v>
      </c>
      <c r="G19" s="67" t="s">
        <v>124</v>
      </c>
    </row>
    <row r="20" spans="1:7" ht="30" customHeight="1" x14ac:dyDescent="0.35">
      <c r="A20" s="28">
        <v>8</v>
      </c>
      <c r="B20" s="44"/>
      <c r="C20" s="29" t="s">
        <v>125</v>
      </c>
      <c r="D20" s="45">
        <v>3</v>
      </c>
      <c r="E20" s="45">
        <v>4</v>
      </c>
      <c r="F20" s="46">
        <f t="shared" si="1"/>
        <v>3.5</v>
      </c>
      <c r="G20" s="65" t="s">
        <v>126</v>
      </c>
    </row>
    <row r="21" spans="1:7" ht="7.5" customHeight="1" x14ac:dyDescent="0.35">
      <c r="A21" s="47"/>
      <c r="B21" s="47"/>
      <c r="C21" s="47"/>
      <c r="D21" s="47"/>
      <c r="E21" s="47"/>
      <c r="F21" s="47"/>
      <c r="G21" s="47"/>
    </row>
    <row r="22" spans="1:7" ht="24" customHeight="1" x14ac:dyDescent="0.35">
      <c r="A22" s="66" t="s">
        <v>256</v>
      </c>
      <c r="B22" s="2"/>
      <c r="C22" s="2"/>
      <c r="D22" s="37">
        <f>SUM(D23:D30)</f>
        <v>45</v>
      </c>
      <c r="E22" s="37">
        <f>SUM(E23:E30)</f>
        <v>69</v>
      </c>
      <c r="F22" s="37">
        <f t="shared" ref="F22:F30" si="2">(D22+E22)/2</f>
        <v>57</v>
      </c>
      <c r="G22" s="38" t="s">
        <v>127</v>
      </c>
    </row>
    <row r="23" spans="1:7" ht="30" customHeight="1" x14ac:dyDescent="0.35">
      <c r="A23" s="39">
        <v>1</v>
      </c>
      <c r="B23" s="40"/>
      <c r="C23" s="68" t="s">
        <v>240</v>
      </c>
      <c r="D23" s="42">
        <v>8</v>
      </c>
      <c r="E23" s="42">
        <v>12</v>
      </c>
      <c r="F23" s="43">
        <f t="shared" si="2"/>
        <v>10</v>
      </c>
      <c r="G23" s="64" t="s">
        <v>239</v>
      </c>
    </row>
    <row r="24" spans="1:7" ht="30" customHeight="1" x14ac:dyDescent="0.35">
      <c r="A24" s="28">
        <v>2</v>
      </c>
      <c r="B24" s="44"/>
      <c r="C24" s="69" t="s">
        <v>241</v>
      </c>
      <c r="D24" s="45">
        <v>5</v>
      </c>
      <c r="E24" s="45">
        <v>8</v>
      </c>
      <c r="F24" s="46">
        <f t="shared" si="2"/>
        <v>6.5</v>
      </c>
      <c r="G24" s="65"/>
    </row>
    <row r="25" spans="1:7" ht="30" customHeight="1" x14ac:dyDescent="0.35">
      <c r="A25" s="39">
        <v>3</v>
      </c>
      <c r="B25" s="40"/>
      <c r="C25" s="68" t="s">
        <v>242</v>
      </c>
      <c r="D25" s="42">
        <v>8</v>
      </c>
      <c r="E25" s="42">
        <v>12</v>
      </c>
      <c r="F25" s="43">
        <f t="shared" si="2"/>
        <v>10</v>
      </c>
      <c r="G25" s="64" t="s">
        <v>243</v>
      </c>
    </row>
    <row r="26" spans="1:7" ht="30" customHeight="1" x14ac:dyDescent="0.35">
      <c r="A26" s="28">
        <v>4</v>
      </c>
      <c r="B26" s="44"/>
      <c r="C26" s="69" t="s">
        <v>244</v>
      </c>
      <c r="D26" s="45">
        <v>8</v>
      </c>
      <c r="E26" s="45">
        <v>12</v>
      </c>
      <c r="F26" s="46">
        <f t="shared" si="2"/>
        <v>10</v>
      </c>
      <c r="G26" s="65" t="s">
        <v>245</v>
      </c>
    </row>
    <row r="27" spans="1:7" ht="30" customHeight="1" x14ac:dyDescent="0.35">
      <c r="A27" s="28">
        <v>6</v>
      </c>
      <c r="B27" s="44"/>
      <c r="C27" s="69" t="s">
        <v>251</v>
      </c>
      <c r="D27" s="45">
        <v>4</v>
      </c>
      <c r="E27" s="45">
        <v>6</v>
      </c>
      <c r="F27" s="46">
        <f t="shared" si="2"/>
        <v>5</v>
      </c>
      <c r="G27" s="65" t="s">
        <v>128</v>
      </c>
    </row>
    <row r="28" spans="1:7" ht="30" customHeight="1" x14ac:dyDescent="0.35">
      <c r="A28" s="39">
        <v>7</v>
      </c>
      <c r="B28" s="40"/>
      <c r="C28" s="68" t="s">
        <v>250</v>
      </c>
      <c r="D28" s="42">
        <v>6</v>
      </c>
      <c r="E28" s="42">
        <v>10</v>
      </c>
      <c r="F28" s="43">
        <f t="shared" si="2"/>
        <v>8</v>
      </c>
      <c r="G28" s="64" t="s">
        <v>246</v>
      </c>
    </row>
    <row r="29" spans="1:7" ht="30" customHeight="1" x14ac:dyDescent="0.35">
      <c r="A29" s="28">
        <v>8</v>
      </c>
      <c r="B29" s="44"/>
      <c r="C29" s="69" t="s">
        <v>249</v>
      </c>
      <c r="D29" s="45">
        <v>4</v>
      </c>
      <c r="E29" s="45">
        <v>6</v>
      </c>
      <c r="F29" s="46">
        <f t="shared" si="2"/>
        <v>5</v>
      </c>
      <c r="G29" s="65" t="s">
        <v>247</v>
      </c>
    </row>
    <row r="30" spans="1:7" ht="30" customHeight="1" x14ac:dyDescent="0.35">
      <c r="A30" s="39">
        <v>9</v>
      </c>
      <c r="B30" s="40"/>
      <c r="C30" s="68" t="s">
        <v>248</v>
      </c>
      <c r="D30" s="42">
        <v>2</v>
      </c>
      <c r="E30" s="42">
        <v>3</v>
      </c>
      <c r="F30" s="43">
        <f t="shared" si="2"/>
        <v>2.5</v>
      </c>
      <c r="G30" s="64" t="s">
        <v>129</v>
      </c>
    </row>
    <row r="31" spans="1:7" ht="7.5" customHeight="1" x14ac:dyDescent="0.35">
      <c r="A31" s="47"/>
      <c r="B31" s="47"/>
      <c r="C31" s="47"/>
      <c r="D31" s="47"/>
      <c r="E31" s="47"/>
      <c r="F31" s="47"/>
      <c r="G31" s="47"/>
    </row>
    <row r="32" spans="1:7" ht="24" customHeight="1" x14ac:dyDescent="0.35">
      <c r="A32" s="66" t="s">
        <v>254</v>
      </c>
      <c r="B32" s="2"/>
      <c r="C32" s="2"/>
      <c r="D32" s="37">
        <f>SUM(D33:D37)</f>
        <v>42</v>
      </c>
      <c r="E32" s="37">
        <f>SUM(E33:E37)</f>
        <v>60</v>
      </c>
      <c r="F32" s="37">
        <f t="shared" ref="F32:F37" si="3">(D32+E32)/2</f>
        <v>51</v>
      </c>
      <c r="G32" s="38"/>
    </row>
    <row r="33" spans="1:7" ht="30" customHeight="1" x14ac:dyDescent="0.35">
      <c r="A33" s="28">
        <v>1</v>
      </c>
      <c r="B33" s="44"/>
      <c r="C33" s="29" t="s">
        <v>130</v>
      </c>
      <c r="D33" s="45">
        <v>12</v>
      </c>
      <c r="E33" s="45">
        <v>16</v>
      </c>
      <c r="F33" s="46">
        <f t="shared" si="3"/>
        <v>14</v>
      </c>
      <c r="G33" s="65" t="s">
        <v>131</v>
      </c>
    </row>
    <row r="34" spans="1:7" ht="30" customHeight="1" x14ac:dyDescent="0.35">
      <c r="A34" s="39">
        <v>2</v>
      </c>
      <c r="B34" s="40"/>
      <c r="C34" s="68" t="s">
        <v>252</v>
      </c>
      <c r="D34" s="42">
        <v>8</v>
      </c>
      <c r="E34" s="42">
        <v>12</v>
      </c>
      <c r="F34" s="43">
        <f t="shared" si="3"/>
        <v>10</v>
      </c>
      <c r="G34" s="64" t="s">
        <v>132</v>
      </c>
    </row>
    <row r="35" spans="1:7" ht="30" customHeight="1" x14ac:dyDescent="0.35">
      <c r="A35" s="28">
        <v>3</v>
      </c>
      <c r="B35" s="44"/>
      <c r="C35" s="29" t="s">
        <v>133</v>
      </c>
      <c r="D35" s="45">
        <v>8</v>
      </c>
      <c r="E35" s="45">
        <v>10</v>
      </c>
      <c r="F35" s="46">
        <f t="shared" si="3"/>
        <v>9</v>
      </c>
      <c r="G35" s="65" t="s">
        <v>134</v>
      </c>
    </row>
    <row r="36" spans="1:7" ht="30" customHeight="1" x14ac:dyDescent="0.35">
      <c r="A36" s="39">
        <v>4</v>
      </c>
      <c r="B36" s="40"/>
      <c r="C36" s="41" t="s">
        <v>135</v>
      </c>
      <c r="D36" s="42">
        <v>10</v>
      </c>
      <c r="E36" s="42">
        <v>16</v>
      </c>
      <c r="F36" s="43">
        <f t="shared" si="3"/>
        <v>13</v>
      </c>
      <c r="G36" s="64" t="s">
        <v>136</v>
      </c>
    </row>
    <row r="37" spans="1:7" ht="30" customHeight="1" x14ac:dyDescent="0.35">
      <c r="A37" s="28">
        <v>5</v>
      </c>
      <c r="B37" s="44"/>
      <c r="C37" s="29" t="s">
        <v>137</v>
      </c>
      <c r="D37" s="45">
        <v>4</v>
      </c>
      <c r="E37" s="45">
        <v>6</v>
      </c>
      <c r="F37" s="46">
        <f t="shared" si="3"/>
        <v>5</v>
      </c>
      <c r="G37" s="65"/>
    </row>
    <row r="38" spans="1:7" ht="7.5" customHeight="1" x14ac:dyDescent="0.35">
      <c r="A38" s="47"/>
      <c r="B38" s="47"/>
      <c r="C38" s="47"/>
      <c r="D38" s="47"/>
      <c r="E38" s="47"/>
      <c r="F38" s="47"/>
      <c r="G38" s="47"/>
    </row>
    <row r="39" spans="1:7" ht="24" customHeight="1" x14ac:dyDescent="0.35">
      <c r="A39" s="66" t="s">
        <v>255</v>
      </c>
      <c r="B39" s="2"/>
      <c r="C39" s="2"/>
      <c r="D39" s="37">
        <f>SUM(D40:D42)</f>
        <v>20</v>
      </c>
      <c r="E39" s="37">
        <f>SUM(E40:E42)</f>
        <v>28</v>
      </c>
      <c r="F39" s="37">
        <f t="shared" ref="F39:F42" si="4">(D39+E39)/2</f>
        <v>24</v>
      </c>
      <c r="G39" s="38"/>
    </row>
    <row r="40" spans="1:7" ht="30" customHeight="1" x14ac:dyDescent="0.35">
      <c r="A40" s="39">
        <v>1</v>
      </c>
      <c r="B40" s="40"/>
      <c r="C40" s="68" t="s">
        <v>253</v>
      </c>
      <c r="D40" s="42">
        <v>8</v>
      </c>
      <c r="E40" s="42">
        <v>12</v>
      </c>
      <c r="F40" s="43">
        <f t="shared" si="4"/>
        <v>10</v>
      </c>
      <c r="G40" s="64" t="s">
        <v>138</v>
      </c>
    </row>
    <row r="41" spans="1:7" ht="30" customHeight="1" x14ac:dyDescent="0.35">
      <c r="A41" s="28">
        <v>2</v>
      </c>
      <c r="B41" s="44"/>
      <c r="C41" s="29" t="s">
        <v>139</v>
      </c>
      <c r="D41" s="45">
        <v>6</v>
      </c>
      <c r="E41" s="45">
        <v>8</v>
      </c>
      <c r="F41" s="46">
        <f t="shared" si="4"/>
        <v>7</v>
      </c>
      <c r="G41" s="65" t="s">
        <v>140</v>
      </c>
    </row>
    <row r="42" spans="1:7" ht="30" customHeight="1" x14ac:dyDescent="0.35">
      <c r="A42" s="39">
        <v>5</v>
      </c>
      <c r="B42" s="40"/>
      <c r="C42" s="41" t="s">
        <v>141</v>
      </c>
      <c r="D42" s="42">
        <v>6</v>
      </c>
      <c r="E42" s="42">
        <v>8</v>
      </c>
      <c r="F42" s="43">
        <f t="shared" si="4"/>
        <v>7</v>
      </c>
      <c r="G42" s="64" t="s">
        <v>142</v>
      </c>
    </row>
    <row r="43" spans="1:7" ht="7.5" customHeight="1" x14ac:dyDescent="0.35">
      <c r="A43" s="47"/>
      <c r="B43" s="47"/>
      <c r="C43" s="47"/>
      <c r="D43" s="47"/>
      <c r="E43" s="47"/>
      <c r="F43" s="47"/>
      <c r="G43" s="47"/>
    </row>
    <row r="44" spans="1:7" ht="19.5" customHeight="1" x14ac:dyDescent="0.35">
      <c r="A44" s="8" t="s">
        <v>143</v>
      </c>
      <c r="B44" s="8"/>
      <c r="C44" s="8"/>
      <c r="D44" s="54">
        <f>(D4+D12+D22+D32+D39)*0.1</f>
        <v>23.400000000000002</v>
      </c>
      <c r="E44" s="54">
        <f>(E4+E12+E22+E32+E39)*0.1</f>
        <v>33.1</v>
      </c>
      <c r="F44" s="54">
        <f>(D44+E44)/2</f>
        <v>28.25</v>
      </c>
      <c r="G44" s="70" t="s">
        <v>144</v>
      </c>
    </row>
    <row r="45" spans="1:7" ht="7.5" customHeight="1" x14ac:dyDescent="0.35">
      <c r="A45" s="47"/>
      <c r="B45" s="47"/>
      <c r="C45" s="47"/>
      <c r="D45" s="47"/>
      <c r="E45" s="47"/>
      <c r="F45" s="47"/>
      <c r="G45" s="47"/>
    </row>
    <row r="46" spans="1:7" ht="21.75" customHeight="1" x14ac:dyDescent="0.35">
      <c r="A46" s="1" t="s">
        <v>145</v>
      </c>
      <c r="B46" s="1"/>
      <c r="C46" s="1"/>
      <c r="D46" s="55">
        <f>D4+D12+D22+D32+D39+D44</f>
        <v>257.39999999999998</v>
      </c>
      <c r="E46" s="55">
        <f>E4+E12+E22+E32+E39+E44</f>
        <v>364.1</v>
      </c>
      <c r="F46" s="55">
        <f>(D46+E46)/2</f>
        <v>310.75</v>
      </c>
      <c r="G46" s="56"/>
    </row>
  </sheetData>
  <mergeCells count="8">
    <mergeCell ref="A32:C32"/>
    <mergeCell ref="A39:C39"/>
    <mergeCell ref="A44:C44"/>
    <mergeCell ref="A46:C46"/>
    <mergeCell ref="A1:G1"/>
    <mergeCell ref="A4:C4"/>
    <mergeCell ref="A12:C12"/>
    <mergeCell ref="A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1848-497D-4E59-90DA-D5B3A21CAA9E}">
  <dimension ref="L37:AD41"/>
  <sheetViews>
    <sheetView topLeftCell="G1" zoomScale="67" workbookViewId="0">
      <selection activeCell="U38" sqref="U38"/>
    </sheetView>
  </sheetViews>
  <sheetFormatPr defaultRowHeight="14.5" x14ac:dyDescent="0.35"/>
  <sheetData>
    <row r="37" spans="12:30" ht="15.5" x14ac:dyDescent="0.35">
      <c r="L37" s="82" t="s">
        <v>274</v>
      </c>
    </row>
    <row r="38" spans="12:30" ht="15.5" x14ac:dyDescent="0.35">
      <c r="L38" s="83" t="s">
        <v>275</v>
      </c>
    </row>
    <row r="40" spans="12:30" x14ac:dyDescent="0.35">
      <c r="L40" s="84" t="s">
        <v>276</v>
      </c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</row>
    <row r="41" spans="12:30" x14ac:dyDescent="0.35">
      <c r="L41" s="86" t="s">
        <v>277</v>
      </c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showGridLines="0" topLeftCell="A6" zoomScaleNormal="100" workbookViewId="0">
      <selection activeCell="C27" sqref="C27"/>
    </sheetView>
  </sheetViews>
  <sheetFormatPr defaultColWidth="8.6328125" defaultRowHeight="14.5" x14ac:dyDescent="0.35"/>
  <cols>
    <col min="1" max="1" width="5" customWidth="1"/>
    <col min="2" max="2" width="28" customWidth="1"/>
    <col min="3" max="3" width="46" customWidth="1"/>
    <col min="4" max="5" width="14" customWidth="1"/>
    <col min="6" max="6" width="12" customWidth="1"/>
    <col min="7" max="7" width="44" customWidth="1"/>
  </cols>
  <sheetData>
    <row r="1" spans="1:7" ht="30" customHeight="1" x14ac:dyDescent="0.35">
      <c r="A1" s="10" t="s">
        <v>146</v>
      </c>
      <c r="B1" s="10"/>
      <c r="C1" s="10"/>
      <c r="D1" s="10"/>
      <c r="E1" s="10"/>
      <c r="F1" s="10"/>
      <c r="G1" s="10"/>
    </row>
    <row r="2" spans="1:7" ht="4.5" customHeight="1" x14ac:dyDescent="0.35"/>
    <row r="3" spans="1:7" ht="19.5" customHeight="1" x14ac:dyDescent="0.35">
      <c r="A3" s="36" t="s">
        <v>5</v>
      </c>
      <c r="B3" s="36" t="s">
        <v>94</v>
      </c>
      <c r="C3" s="36" t="s">
        <v>95</v>
      </c>
      <c r="D3" s="36" t="s">
        <v>96</v>
      </c>
      <c r="E3" s="36" t="s">
        <v>97</v>
      </c>
      <c r="F3" s="36" t="s">
        <v>98</v>
      </c>
      <c r="G3" s="36" t="s">
        <v>99</v>
      </c>
    </row>
    <row r="4" spans="1:7" ht="24" customHeight="1" x14ac:dyDescent="0.35">
      <c r="A4" s="2" t="s">
        <v>147</v>
      </c>
      <c r="B4" s="2"/>
      <c r="C4" s="2"/>
      <c r="D4" s="37">
        <f>SUM(D5:D13)</f>
        <v>28</v>
      </c>
      <c r="E4" s="37">
        <f>SUM(E5:E13)</f>
        <v>42</v>
      </c>
      <c r="F4" s="37">
        <f t="shared" ref="F4:F13" si="0">(D4+E4)/2</f>
        <v>35</v>
      </c>
      <c r="G4" s="38"/>
    </row>
    <row r="5" spans="1:7" ht="30" customHeight="1" x14ac:dyDescent="0.35">
      <c r="A5" s="39">
        <v>1</v>
      </c>
      <c r="B5" s="40"/>
      <c r="C5" s="68" t="s">
        <v>258</v>
      </c>
      <c r="D5" s="42">
        <v>2</v>
      </c>
      <c r="E5" s="42">
        <v>3</v>
      </c>
      <c r="F5" s="43">
        <f t="shared" si="0"/>
        <v>2.5</v>
      </c>
      <c r="G5" s="64" t="s">
        <v>148</v>
      </c>
    </row>
    <row r="6" spans="1:7" ht="30" customHeight="1" x14ac:dyDescent="0.35">
      <c r="A6" s="28">
        <v>2</v>
      </c>
      <c r="B6" s="44"/>
      <c r="C6" s="29" t="s">
        <v>149</v>
      </c>
      <c r="D6" s="45">
        <v>8</v>
      </c>
      <c r="E6" s="45">
        <v>12</v>
      </c>
      <c r="F6" s="46">
        <f t="shared" si="0"/>
        <v>10</v>
      </c>
      <c r="G6" s="65" t="s">
        <v>150</v>
      </c>
    </row>
    <row r="7" spans="1:7" ht="30" customHeight="1" x14ac:dyDescent="0.35">
      <c r="A7" s="39">
        <v>3</v>
      </c>
      <c r="B7" s="40"/>
      <c r="C7" s="68" t="s">
        <v>259</v>
      </c>
      <c r="D7" s="42">
        <v>4</v>
      </c>
      <c r="E7" s="42">
        <v>6</v>
      </c>
      <c r="F7" s="43">
        <f t="shared" si="0"/>
        <v>5</v>
      </c>
      <c r="G7" s="64" t="s">
        <v>151</v>
      </c>
    </row>
    <row r="8" spans="1:7" ht="30" customHeight="1" x14ac:dyDescent="0.35">
      <c r="A8" s="28">
        <v>4</v>
      </c>
      <c r="B8" s="44"/>
      <c r="C8" s="29" t="s">
        <v>152</v>
      </c>
      <c r="D8" s="45">
        <v>3</v>
      </c>
      <c r="E8" s="45">
        <v>4</v>
      </c>
      <c r="F8" s="46">
        <f t="shared" si="0"/>
        <v>3.5</v>
      </c>
      <c r="G8" s="65" t="s">
        <v>153</v>
      </c>
    </row>
    <row r="9" spans="1:7" ht="30" customHeight="1" x14ac:dyDescent="0.35">
      <c r="A9" s="39">
        <v>5</v>
      </c>
      <c r="B9" s="40"/>
      <c r="C9" s="41" t="s">
        <v>154</v>
      </c>
      <c r="D9" s="42">
        <v>2</v>
      </c>
      <c r="E9" s="42">
        <v>3</v>
      </c>
      <c r="F9" s="43">
        <f t="shared" si="0"/>
        <v>2.5</v>
      </c>
      <c r="G9" s="64" t="s">
        <v>155</v>
      </c>
    </row>
    <row r="10" spans="1:7" ht="30" customHeight="1" x14ac:dyDescent="0.35">
      <c r="A10" s="28">
        <v>6</v>
      </c>
      <c r="B10" s="44"/>
      <c r="C10" s="29" t="s">
        <v>156</v>
      </c>
      <c r="D10" s="45">
        <v>2</v>
      </c>
      <c r="E10" s="45">
        <v>4</v>
      </c>
      <c r="F10" s="46">
        <f t="shared" si="0"/>
        <v>3</v>
      </c>
      <c r="G10" s="65" t="s">
        <v>157</v>
      </c>
    </row>
    <row r="11" spans="1:7" ht="30" customHeight="1" x14ac:dyDescent="0.35">
      <c r="A11" s="39">
        <v>7</v>
      </c>
      <c r="B11" s="40"/>
      <c r="C11" s="41" t="s">
        <v>158</v>
      </c>
      <c r="D11" s="42">
        <v>2</v>
      </c>
      <c r="E11" s="42">
        <v>3</v>
      </c>
      <c r="F11" s="43">
        <f t="shared" si="0"/>
        <v>2.5</v>
      </c>
      <c r="G11" s="64" t="s">
        <v>159</v>
      </c>
    </row>
    <row r="12" spans="1:7" ht="30" customHeight="1" x14ac:dyDescent="0.35">
      <c r="A12" s="28">
        <v>8</v>
      </c>
      <c r="B12" s="44"/>
      <c r="C12" s="29" t="s">
        <v>160</v>
      </c>
      <c r="D12" s="45">
        <v>2</v>
      </c>
      <c r="E12" s="45">
        <v>3</v>
      </c>
      <c r="F12" s="46">
        <f t="shared" si="0"/>
        <v>2.5</v>
      </c>
      <c r="G12" s="65" t="s">
        <v>161</v>
      </c>
    </row>
    <row r="13" spans="1:7" ht="30" customHeight="1" x14ac:dyDescent="0.35">
      <c r="A13" s="39">
        <v>9</v>
      </c>
      <c r="B13" s="40"/>
      <c r="C13" s="41" t="s">
        <v>162</v>
      </c>
      <c r="D13" s="42">
        <v>3</v>
      </c>
      <c r="E13" s="42">
        <v>4</v>
      </c>
      <c r="F13" s="43">
        <f t="shared" si="0"/>
        <v>3.5</v>
      </c>
      <c r="G13" s="64" t="s">
        <v>163</v>
      </c>
    </row>
    <row r="14" spans="1:7" ht="24" customHeight="1" x14ac:dyDescent="0.35">
      <c r="A14" s="2" t="s">
        <v>164</v>
      </c>
      <c r="B14" s="2"/>
      <c r="C14" s="2"/>
      <c r="D14" s="37">
        <f>SUM(D15:D16)</f>
        <v>7</v>
      </c>
      <c r="E14" s="37">
        <f>SUM(E15:E16)</f>
        <v>11</v>
      </c>
      <c r="F14" s="37">
        <f>(D14+E14)/2</f>
        <v>9</v>
      </c>
      <c r="G14" s="38"/>
    </row>
    <row r="15" spans="1:7" ht="30" customHeight="1" x14ac:dyDescent="0.35">
      <c r="A15" s="39">
        <v>11</v>
      </c>
      <c r="B15" s="40"/>
      <c r="C15" s="41" t="s">
        <v>165</v>
      </c>
      <c r="D15" s="42">
        <v>4</v>
      </c>
      <c r="E15" s="42">
        <v>6</v>
      </c>
      <c r="F15" s="43">
        <f>(D15+E15)/2</f>
        <v>5</v>
      </c>
      <c r="G15" s="64" t="s">
        <v>166</v>
      </c>
    </row>
    <row r="16" spans="1:7" ht="30" customHeight="1" x14ac:dyDescent="0.35">
      <c r="A16" s="28">
        <v>12</v>
      </c>
      <c r="B16" s="44"/>
      <c r="C16" s="29" t="s">
        <v>167</v>
      </c>
      <c r="D16" s="45">
        <v>3</v>
      </c>
      <c r="E16" s="45">
        <v>5</v>
      </c>
      <c r="F16" s="46">
        <f>(D16+E16)/2</f>
        <v>4</v>
      </c>
      <c r="G16" s="65" t="s">
        <v>168</v>
      </c>
    </row>
    <row r="17" spans="1:7" ht="7.5" customHeight="1" x14ac:dyDescent="0.35">
      <c r="A17" s="47"/>
      <c r="B17" s="47"/>
      <c r="C17" s="47"/>
      <c r="D17" s="47"/>
      <c r="E17" s="47"/>
      <c r="F17" s="47"/>
      <c r="G17" s="47"/>
    </row>
    <row r="18" spans="1:7" ht="24" customHeight="1" x14ac:dyDescent="0.35">
      <c r="A18" s="2" t="s">
        <v>169</v>
      </c>
      <c r="B18" s="2"/>
      <c r="C18" s="2"/>
      <c r="D18" s="37">
        <f>SUM(D19:D20)</f>
        <v>6</v>
      </c>
      <c r="E18" s="37">
        <f>SUM(E19:E20)</f>
        <v>9</v>
      </c>
      <c r="F18" s="37">
        <f>(D18+E18)/2</f>
        <v>7.5</v>
      </c>
      <c r="G18" s="38"/>
    </row>
    <row r="19" spans="1:7" ht="30" customHeight="1" x14ac:dyDescent="0.35">
      <c r="A19" s="39">
        <v>13</v>
      </c>
      <c r="B19" s="40"/>
      <c r="C19" s="41" t="s">
        <v>170</v>
      </c>
      <c r="D19" s="42">
        <v>4</v>
      </c>
      <c r="E19" s="42">
        <v>6</v>
      </c>
      <c r="F19" s="43">
        <f>(D19+E19)/2</f>
        <v>5</v>
      </c>
      <c r="G19" s="64" t="s">
        <v>171</v>
      </c>
    </row>
    <row r="20" spans="1:7" ht="30" customHeight="1" x14ac:dyDescent="0.35">
      <c r="A20" s="28">
        <v>14</v>
      </c>
      <c r="B20" s="44"/>
      <c r="C20" s="29" t="s">
        <v>172</v>
      </c>
      <c r="D20" s="45">
        <v>2</v>
      </c>
      <c r="E20" s="45">
        <v>3</v>
      </c>
      <c r="F20" s="46">
        <f>(D20+E20)/2</f>
        <v>2.5</v>
      </c>
      <c r="G20" s="65" t="s">
        <v>173</v>
      </c>
    </row>
    <row r="21" spans="1:7" ht="19.5" customHeight="1" x14ac:dyDescent="0.35">
      <c r="A21" s="8" t="s">
        <v>143</v>
      </c>
      <c r="B21" s="8"/>
      <c r="C21" s="8"/>
      <c r="D21" s="54">
        <f>(D4+D14+D18)*0.1</f>
        <v>4.1000000000000005</v>
      </c>
      <c r="E21" s="54">
        <f>(E4+E14+E18)*0.1</f>
        <v>6.2</v>
      </c>
      <c r="F21" s="54">
        <f>(D21+E21)/2</f>
        <v>5.15</v>
      </c>
      <c r="G21" s="70" t="s">
        <v>174</v>
      </c>
    </row>
    <row r="22" spans="1:7" ht="21.75" customHeight="1" x14ac:dyDescent="0.35">
      <c r="A22" s="1" t="s">
        <v>175</v>
      </c>
      <c r="B22" s="1"/>
      <c r="C22" s="1"/>
      <c r="D22" s="55">
        <f>D4+D14+D18+D21</f>
        <v>45.1</v>
      </c>
      <c r="E22" s="55">
        <f>E4+E14+E18+E21</f>
        <v>68.2</v>
      </c>
      <c r="F22" s="55">
        <f>(D22+E22)/2</f>
        <v>56.650000000000006</v>
      </c>
      <c r="G22" s="56" t="s">
        <v>176</v>
      </c>
    </row>
  </sheetData>
  <mergeCells count="6">
    <mergeCell ref="A22:C22"/>
    <mergeCell ref="A1:G1"/>
    <mergeCell ref="A4:C4"/>
    <mergeCell ref="A14:C14"/>
    <mergeCell ref="A18:C18"/>
    <mergeCell ref="A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showGridLines="0" topLeftCell="A11" zoomScaleNormal="100" workbookViewId="0">
      <selection activeCell="B33" sqref="B33"/>
    </sheetView>
  </sheetViews>
  <sheetFormatPr defaultColWidth="8.6328125" defaultRowHeight="14.5" x14ac:dyDescent="0.35"/>
  <cols>
    <col min="1" max="1" width="5" customWidth="1"/>
    <col min="2" max="2" width="46" customWidth="1"/>
    <col min="3" max="3" width="14" customWidth="1"/>
    <col min="4" max="4" width="22" customWidth="1"/>
    <col min="5" max="5" width="54" customWidth="1"/>
  </cols>
  <sheetData>
    <row r="1" spans="1:5" ht="30" customHeight="1" x14ac:dyDescent="0.35">
      <c r="A1" s="10" t="s">
        <v>177</v>
      </c>
      <c r="B1" s="10"/>
      <c r="C1" s="10"/>
      <c r="D1" s="10"/>
      <c r="E1" s="10"/>
    </row>
    <row r="2" spans="1:5" ht="18" customHeight="1" x14ac:dyDescent="0.35">
      <c r="A2" s="11" t="s">
        <v>5</v>
      </c>
      <c r="B2" s="11" t="s">
        <v>178</v>
      </c>
      <c r="C2" s="11" t="s">
        <v>179</v>
      </c>
      <c r="D2" s="11" t="s">
        <v>180</v>
      </c>
      <c r="E2" s="11" t="s">
        <v>181</v>
      </c>
    </row>
    <row r="3" spans="1:5" ht="18" customHeight="1" x14ac:dyDescent="0.35">
      <c r="A3" s="2" t="s">
        <v>182</v>
      </c>
      <c r="B3" s="2"/>
      <c r="C3" s="2"/>
      <c r="D3" s="2"/>
      <c r="E3" s="2"/>
    </row>
    <row r="4" spans="1:5" ht="27.75" customHeight="1" x14ac:dyDescent="0.35">
      <c r="A4" s="28">
        <v>1</v>
      </c>
      <c r="B4" s="71" t="s">
        <v>262</v>
      </c>
      <c r="C4" s="57">
        <v>35</v>
      </c>
      <c r="D4" s="28" t="s">
        <v>183</v>
      </c>
      <c r="E4" s="65" t="s">
        <v>184</v>
      </c>
    </row>
    <row r="5" spans="1:5" ht="27.75" customHeight="1" x14ac:dyDescent="0.35">
      <c r="A5" s="28">
        <v>2</v>
      </c>
      <c r="B5" s="71" t="s">
        <v>263</v>
      </c>
      <c r="C5" s="57">
        <v>5</v>
      </c>
      <c r="D5" s="28" t="s">
        <v>183</v>
      </c>
      <c r="E5" s="65" t="s">
        <v>185</v>
      </c>
    </row>
    <row r="6" spans="1:5" ht="27.75" customHeight="1" x14ac:dyDescent="0.35">
      <c r="A6" s="28">
        <v>3</v>
      </c>
      <c r="B6" s="71" t="s">
        <v>264</v>
      </c>
      <c r="C6" s="57">
        <v>1</v>
      </c>
      <c r="D6" s="28" t="s">
        <v>183</v>
      </c>
      <c r="E6" s="65" t="s">
        <v>186</v>
      </c>
    </row>
    <row r="7" spans="1:5" ht="15.75" customHeight="1" x14ac:dyDescent="0.35">
      <c r="A7" s="8" t="s">
        <v>187</v>
      </c>
      <c r="B7" s="8"/>
      <c r="C7" s="58">
        <f>SUM(C4:C6)</f>
        <v>41</v>
      </c>
      <c r="D7" s="59"/>
      <c r="E7" s="59"/>
    </row>
    <row r="8" spans="1:5" ht="18" customHeight="1" x14ac:dyDescent="0.35">
      <c r="A8" s="2" t="s">
        <v>188</v>
      </c>
      <c r="B8" s="2"/>
      <c r="C8" s="2"/>
      <c r="D8" s="2"/>
      <c r="E8" s="2"/>
    </row>
    <row r="9" spans="1:5" ht="50" customHeight="1" x14ac:dyDescent="0.35">
      <c r="A9" s="28">
        <v>4</v>
      </c>
      <c r="B9" s="71" t="s">
        <v>265</v>
      </c>
      <c r="C9" s="57">
        <v>250</v>
      </c>
      <c r="D9" s="28" t="s">
        <v>189</v>
      </c>
      <c r="E9" s="65" t="s">
        <v>190</v>
      </c>
    </row>
    <row r="10" spans="1:5" ht="15.75" customHeight="1" x14ac:dyDescent="0.35">
      <c r="A10" s="8" t="s">
        <v>191</v>
      </c>
      <c r="B10" s="8"/>
      <c r="C10" s="58">
        <f>C9</f>
        <v>250</v>
      </c>
      <c r="D10" s="59"/>
      <c r="E10" s="59"/>
    </row>
    <row r="11" spans="1:5" ht="18" customHeight="1" x14ac:dyDescent="0.35">
      <c r="A11" s="2" t="s">
        <v>192</v>
      </c>
      <c r="B11" s="2"/>
      <c r="C11" s="2"/>
      <c r="D11" s="2"/>
      <c r="E11" s="2"/>
    </row>
    <row r="12" spans="1:5" ht="27.75" customHeight="1" x14ac:dyDescent="0.35">
      <c r="A12" s="28">
        <v>5</v>
      </c>
      <c r="B12" s="71" t="s">
        <v>266</v>
      </c>
      <c r="C12" s="57">
        <v>75</v>
      </c>
      <c r="D12" s="28" t="s">
        <v>189</v>
      </c>
      <c r="E12" s="65" t="s">
        <v>193</v>
      </c>
    </row>
    <row r="13" spans="1:5" ht="27.75" customHeight="1" x14ac:dyDescent="0.35">
      <c r="A13" s="28">
        <v>6</v>
      </c>
      <c r="B13" s="71" t="s">
        <v>267</v>
      </c>
      <c r="C13" s="57">
        <v>2</v>
      </c>
      <c r="D13" s="28" t="s">
        <v>194</v>
      </c>
      <c r="E13" s="65" t="s">
        <v>195</v>
      </c>
    </row>
    <row r="14" spans="1:5" ht="27.75" customHeight="1" x14ac:dyDescent="0.35">
      <c r="A14" s="28">
        <v>7</v>
      </c>
      <c r="B14" s="71" t="s">
        <v>268</v>
      </c>
      <c r="C14" s="57">
        <v>1</v>
      </c>
      <c r="D14" s="28" t="s">
        <v>196</v>
      </c>
      <c r="E14" s="65" t="s">
        <v>197</v>
      </c>
    </row>
    <row r="15" spans="1:5" ht="15.75" customHeight="1" x14ac:dyDescent="0.35">
      <c r="A15" s="8" t="s">
        <v>198</v>
      </c>
      <c r="B15" s="8"/>
      <c r="C15" s="58">
        <f>SUM(C12:C14)</f>
        <v>78</v>
      </c>
      <c r="D15" s="59"/>
      <c r="E15" s="59"/>
    </row>
    <row r="16" spans="1:5" ht="18" customHeight="1" x14ac:dyDescent="0.35">
      <c r="A16" s="2" t="s">
        <v>199</v>
      </c>
      <c r="B16" s="2"/>
      <c r="C16" s="2"/>
      <c r="D16" s="2"/>
      <c r="E16" s="2"/>
    </row>
    <row r="17" spans="1:5" ht="27.75" customHeight="1" x14ac:dyDescent="0.35">
      <c r="A17" s="28">
        <v>8</v>
      </c>
      <c r="B17" s="71" t="s">
        <v>269</v>
      </c>
      <c r="C17" s="57">
        <v>0.15</v>
      </c>
      <c r="D17" s="28" t="s">
        <v>200</v>
      </c>
      <c r="E17" s="65" t="s">
        <v>201</v>
      </c>
    </row>
    <row r="18" spans="1:5" ht="27.75" customHeight="1" x14ac:dyDescent="0.35">
      <c r="A18" s="28">
        <v>9</v>
      </c>
      <c r="B18" s="71" t="s">
        <v>270</v>
      </c>
      <c r="C18" s="57">
        <v>0</v>
      </c>
      <c r="D18" s="28" t="s">
        <v>202</v>
      </c>
      <c r="E18" s="65" t="s">
        <v>203</v>
      </c>
    </row>
    <row r="19" spans="1:5" ht="15.75" customHeight="1" x14ac:dyDescent="0.35">
      <c r="A19" s="8" t="s">
        <v>204</v>
      </c>
      <c r="B19" s="8"/>
      <c r="C19" s="58">
        <f>SUM(C17:C18)</f>
        <v>0.15</v>
      </c>
      <c r="D19" s="59"/>
      <c r="E19" s="59"/>
    </row>
    <row r="20" spans="1:5" ht="18" customHeight="1" x14ac:dyDescent="0.35">
      <c r="A20" s="2" t="s">
        <v>205</v>
      </c>
      <c r="B20" s="2"/>
      <c r="C20" s="2"/>
      <c r="D20" s="2"/>
      <c r="E20" s="2"/>
    </row>
    <row r="21" spans="1:5" ht="27.75" customHeight="1" x14ac:dyDescent="0.35">
      <c r="A21" s="28">
        <v>10</v>
      </c>
      <c r="B21" s="71" t="s">
        <v>271</v>
      </c>
      <c r="C21" s="57">
        <v>11.5</v>
      </c>
      <c r="D21" s="28" t="s">
        <v>206</v>
      </c>
      <c r="E21" s="63" t="s">
        <v>207</v>
      </c>
    </row>
    <row r="22" spans="1:5" ht="27.75" customHeight="1" x14ac:dyDescent="0.35">
      <c r="A22" s="28">
        <v>11</v>
      </c>
      <c r="B22" s="71" t="s">
        <v>272</v>
      </c>
      <c r="C22" s="57">
        <v>1</v>
      </c>
      <c r="D22" s="28" t="s">
        <v>208</v>
      </c>
      <c r="E22" s="63" t="s">
        <v>209</v>
      </c>
    </row>
    <row r="23" spans="1:5" ht="15.75" customHeight="1" x14ac:dyDescent="0.35">
      <c r="A23" s="8" t="s">
        <v>210</v>
      </c>
      <c r="B23" s="8"/>
      <c r="C23" s="58">
        <f>SUM(C21:C22)</f>
        <v>12.5</v>
      </c>
      <c r="D23" s="59"/>
      <c r="E23" s="59"/>
    </row>
    <row r="24" spans="1:5" ht="18" customHeight="1" x14ac:dyDescent="0.35">
      <c r="A24" s="2" t="s">
        <v>211</v>
      </c>
      <c r="B24" s="2"/>
      <c r="C24" s="2"/>
      <c r="D24" s="2"/>
      <c r="E24" s="2"/>
    </row>
    <row r="25" spans="1:5" ht="27.75" customHeight="1" x14ac:dyDescent="0.35">
      <c r="A25" s="28">
        <v>12</v>
      </c>
      <c r="B25" s="71" t="s">
        <v>273</v>
      </c>
      <c r="C25" s="57">
        <v>200</v>
      </c>
      <c r="D25" s="28" t="s">
        <v>212</v>
      </c>
      <c r="E25" s="65" t="s">
        <v>213</v>
      </c>
    </row>
    <row r="26" spans="1:5" ht="15.75" customHeight="1" x14ac:dyDescent="0.35">
      <c r="A26" s="8" t="s">
        <v>214</v>
      </c>
      <c r="B26" s="8"/>
      <c r="C26" s="58">
        <f>SUM(C25:C25)</f>
        <v>200</v>
      </c>
      <c r="D26" s="59"/>
      <c r="E26" s="59"/>
    </row>
    <row r="27" spans="1:5" ht="7.5" customHeight="1" x14ac:dyDescent="0.35"/>
    <row r="28" spans="1:5" ht="21.75" customHeight="1" x14ac:dyDescent="0.35">
      <c r="A28" s="1" t="s">
        <v>215</v>
      </c>
      <c r="B28" s="1"/>
      <c r="C28" s="60">
        <f>C7+C10+C15+C19+C23+C26</f>
        <v>581.65</v>
      </c>
      <c r="D28" s="61"/>
      <c r="E28" s="56" t="s">
        <v>216</v>
      </c>
    </row>
    <row r="29" spans="1:5" ht="7.5" customHeight="1" x14ac:dyDescent="0.35"/>
  </sheetData>
  <mergeCells count="14">
    <mergeCell ref="A23:B23"/>
    <mergeCell ref="A24:E24"/>
    <mergeCell ref="A26:B26"/>
    <mergeCell ref="A28:B28"/>
    <mergeCell ref="A11:E11"/>
    <mergeCell ref="A15:B15"/>
    <mergeCell ref="A16:E16"/>
    <mergeCell ref="A19:B19"/>
    <mergeCell ref="A20:E20"/>
    <mergeCell ref="A1:E1"/>
    <mergeCell ref="A3:E3"/>
    <mergeCell ref="A7:B7"/>
    <mergeCell ref="A8:E8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showGridLines="0" zoomScaleNormal="100" workbookViewId="0">
      <selection activeCell="B11" sqref="B11"/>
    </sheetView>
  </sheetViews>
  <sheetFormatPr defaultColWidth="8.6328125" defaultRowHeight="14.5" x14ac:dyDescent="0.35"/>
  <cols>
    <col min="1" max="1" width="12" customWidth="1"/>
    <col min="2" max="2" width="55" customWidth="1"/>
    <col min="3" max="3" width="16" customWidth="1"/>
    <col min="4" max="4" width="18" customWidth="1"/>
  </cols>
  <sheetData>
    <row r="1" spans="1:4" ht="30" customHeight="1" x14ac:dyDescent="0.35">
      <c r="A1" s="10" t="s">
        <v>217</v>
      </c>
      <c r="B1" s="10"/>
      <c r="C1" s="10"/>
      <c r="D1" s="10"/>
    </row>
    <row r="2" spans="1:4" ht="6" customHeight="1" x14ac:dyDescent="0.35"/>
    <row r="3" spans="1:4" ht="18" customHeight="1" x14ac:dyDescent="0.35">
      <c r="A3" s="11" t="s">
        <v>218</v>
      </c>
      <c r="B3" s="11" t="s">
        <v>219</v>
      </c>
      <c r="C3" s="11" t="s">
        <v>220</v>
      </c>
      <c r="D3" s="11" t="s">
        <v>221</v>
      </c>
    </row>
    <row r="4" spans="1:4" ht="45.5" customHeight="1" x14ac:dyDescent="0.35">
      <c r="A4" s="62" t="s">
        <v>222</v>
      </c>
      <c r="B4" s="35"/>
      <c r="C4" s="72">
        <v>46100</v>
      </c>
      <c r="D4" s="73" t="s">
        <v>260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AI Agent Dev</vt:lpstr>
      <vt:lpstr>Architecture</vt:lpstr>
      <vt:lpstr>DevOps &amp; Cloud</vt:lpstr>
      <vt:lpstr>Infra Cost</vt:lpstr>
      <vt:lpstr>Version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Gupta, Prabhakar</cp:lastModifiedBy>
  <cp:revision>0</cp:revision>
  <dcterms:created xsi:type="dcterms:W3CDTF">2026-03-18T06:55:54Z</dcterms:created>
  <dcterms:modified xsi:type="dcterms:W3CDTF">2026-03-19T03:50:47Z</dcterms:modified>
  <dc:language>en-US</dc:language>
</cp:coreProperties>
</file>