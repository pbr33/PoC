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https://ezecastleintegration-my.sharepoint.com/personal/mjain_eci_com/Documents/Business/ECI/Delivery/Digital Delivery Leadership Team Area/Deal Tool - Pricing/"/>
    </mc:Choice>
  </mc:AlternateContent>
  <xr:revisionPtr revIDLastSave="0" documentId="8_{F1DB4893-5C46-4093-864E-C446A044EC42}" xr6:coauthVersionLast="47" xr6:coauthVersionMax="47" xr10:uidLastSave="{00000000-0000-0000-0000-000000000000}"/>
  <bookViews>
    <workbookView xWindow="-98" yWindow="-98" windowWidth="20715" windowHeight="13276" firstSheet="3" activeTab="3" xr2:uid="{00000000-000D-0000-FFFF-FFFF00000000}"/>
  </bookViews>
  <sheets>
    <sheet name="Notes" sheetId="45" r:id="rId1"/>
    <sheet name="Idexx-" sheetId="44" state="hidden" r:id="rId2"/>
    <sheet name="Project Team" sheetId="51" r:id="rId3"/>
    <sheet name="Finance team only" sheetId="23" r:id="rId4"/>
  </sheets>
  <definedNames>
    <definedName name="_xlnm._FilterDatabase" localSheetId="3" hidden="1">'Finance team only'!$A$1:$F$89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35" roundtripDataSignature="AMtx7miG84hdYZWeH9TEnZeKp6TsQqVx5Q=="/>
    </ext>
  </extLst>
</workbook>
</file>

<file path=xl/calcChain.xml><?xml version="1.0" encoding="utf-8"?>
<calcChain xmlns="http://schemas.openxmlformats.org/spreadsheetml/2006/main">
  <c r="I7" i="51" l="1"/>
  <c r="G7" i="51"/>
  <c r="I8" i="51"/>
  <c r="F8" i="51"/>
  <c r="G8" i="51" s="1"/>
  <c r="I6" i="51"/>
  <c r="G6" i="51"/>
  <c r="G5" i="51"/>
  <c r="I5" i="51"/>
  <c r="I4" i="51"/>
  <c r="I9" i="51" s="1"/>
  <c r="G4" i="51"/>
  <c r="G9" i="51" s="1"/>
  <c r="I14" i="23"/>
  <c r="I13" i="23"/>
  <c r="I12" i="51" l="1"/>
  <c r="I11" i="51"/>
  <c r="D76" i="23"/>
  <c r="D89" i="23"/>
  <c r="D88" i="23"/>
  <c r="D87" i="23"/>
  <c r="D86" i="23"/>
  <c r="D85" i="23"/>
  <c r="D84" i="23"/>
  <c r="D83" i="23"/>
  <c r="D82" i="23"/>
  <c r="D81" i="23"/>
  <c r="D80" i="23"/>
  <c r="D79" i="23"/>
  <c r="D78" i="23"/>
  <c r="D77" i="23"/>
  <c r="D75" i="23"/>
  <c r="D74" i="23"/>
  <c r="D73" i="23"/>
  <c r="D72" i="23"/>
  <c r="D71" i="23"/>
  <c r="D70" i="23"/>
  <c r="D69" i="23"/>
  <c r="D68" i="23"/>
  <c r="D67" i="23"/>
  <c r="D66" i="23"/>
  <c r="D65" i="23"/>
  <c r="D64" i="23"/>
  <c r="D63" i="23"/>
  <c r="D62" i="23"/>
  <c r="D61" i="23"/>
  <c r="D60" i="23"/>
  <c r="D59" i="23"/>
  <c r="D58" i="23"/>
  <c r="D57" i="23"/>
  <c r="D56" i="23"/>
  <c r="D55" i="23"/>
  <c r="D54" i="23"/>
  <c r="D53" i="23"/>
  <c r="D52" i="23"/>
  <c r="D51" i="23"/>
  <c r="D50" i="23"/>
  <c r="D49" i="23"/>
  <c r="D48" i="23"/>
  <c r="D47" i="23"/>
  <c r="D46" i="23"/>
  <c r="D45" i="23"/>
  <c r="D44" i="23"/>
  <c r="D43" i="23"/>
  <c r="D42" i="23"/>
  <c r="D41" i="23"/>
  <c r="D40" i="23"/>
  <c r="D39" i="23"/>
  <c r="D38" i="23"/>
  <c r="D37" i="23"/>
  <c r="D36" i="23"/>
  <c r="D35" i="23"/>
  <c r="D34" i="23"/>
  <c r="D33" i="23"/>
  <c r="D32" i="23"/>
  <c r="D31" i="23"/>
  <c r="D30" i="23"/>
  <c r="D29" i="23"/>
  <c r="D28" i="23"/>
  <c r="D27" i="23"/>
  <c r="D26" i="23"/>
  <c r="D25" i="23"/>
  <c r="D24" i="23"/>
  <c r="D23" i="23"/>
  <c r="D22" i="23"/>
  <c r="D21" i="23"/>
  <c r="D20" i="23"/>
  <c r="D19" i="23"/>
  <c r="D18" i="23"/>
  <c r="D17" i="23"/>
  <c r="D16" i="23"/>
  <c r="D15" i="23"/>
  <c r="D14" i="23"/>
  <c r="D13" i="23"/>
  <c r="D12" i="23"/>
  <c r="D11" i="23"/>
  <c r="D10" i="23"/>
  <c r="D9" i="23"/>
  <c r="D8" i="23"/>
  <c r="D7" i="23"/>
  <c r="D6" i="23"/>
  <c r="D5" i="23"/>
  <c r="D4" i="23"/>
  <c r="D3" i="23"/>
  <c r="D2" i="23"/>
  <c r="I35" i="44" l="1"/>
  <c r="I34" i="44"/>
  <c r="I28" i="44"/>
  <c r="I27" i="44"/>
  <c r="I26" i="44"/>
  <c r="I25" i="44"/>
  <c r="I17" i="44"/>
  <c r="I16" i="44"/>
  <c r="I15" i="44"/>
  <c r="I14" i="44"/>
  <c r="I13" i="44"/>
  <c r="I12" i="44"/>
  <c r="I11" i="44"/>
  <c r="I10" i="44"/>
  <c r="I9" i="44"/>
  <c r="I8" i="44"/>
  <c r="I7" i="44"/>
  <c r="I6" i="44"/>
  <c r="I5" i="44"/>
  <c r="I31" i="44" l="1"/>
  <c r="F26" i="44" l="1"/>
  <c r="G26" i="44" s="1"/>
  <c r="F15" i="44"/>
  <c r="G15" i="44" s="1"/>
  <c r="F11" i="44"/>
  <c r="G11" i="44" s="1"/>
  <c r="F8" i="44"/>
  <c r="G8" i="44" s="1"/>
  <c r="F25" i="44"/>
  <c r="G25" i="44" s="1"/>
  <c r="F14" i="44"/>
  <c r="G14" i="44" s="1"/>
  <c r="F10" i="44"/>
  <c r="G10" i="44" s="1"/>
  <c r="F7" i="44"/>
  <c r="G7" i="44" s="1"/>
  <c r="F17" i="44"/>
  <c r="G17" i="44" s="1"/>
  <c r="F13" i="44"/>
  <c r="G13" i="44" s="1"/>
  <c r="F5" i="44"/>
  <c r="G5" i="44" s="1"/>
  <c r="F28" i="44"/>
  <c r="G28" i="44" s="1"/>
  <c r="F9" i="44"/>
  <c r="G9" i="44" s="1"/>
  <c r="F6" i="44"/>
  <c r="G6" i="44" s="1"/>
  <c r="F27" i="44"/>
  <c r="G27" i="44" s="1"/>
  <c r="F16" i="44"/>
  <c r="G16" i="44" s="1"/>
  <c r="F12" i="44"/>
  <c r="G12" i="44" s="1"/>
  <c r="G31" i="44" l="1"/>
  <c r="I37" i="44" l="1"/>
  <c r="I36" i="44"/>
  <c r="I33" i="44"/>
  <c r="I38" i="44" l="1"/>
</calcChain>
</file>

<file path=xl/sharedStrings.xml><?xml version="1.0" encoding="utf-8"?>
<sst xmlns="http://schemas.openxmlformats.org/spreadsheetml/2006/main" count="370" uniqueCount="111">
  <si>
    <t>Version History</t>
  </si>
  <si>
    <t>Initial version with 2022 rates</t>
  </si>
  <si>
    <t>Modified the rate for DBA to USD 26</t>
  </si>
  <si>
    <t>Access Restrictions</t>
  </si>
  <si>
    <t>Deal tool access should be limited to Directors and above level.</t>
  </si>
  <si>
    <t>Project Name</t>
  </si>
  <si>
    <t>Idexx-Change Order, Opp#102165</t>
  </si>
  <si>
    <t>** Access level of this sheet is NorthOut Directors and above in Boston and Indore office and finance team</t>
  </si>
  <si>
    <t>Client Risk Tier</t>
  </si>
  <si>
    <t>Enterprise</t>
  </si>
  <si>
    <t>Title</t>
  </si>
  <si>
    <t>Role on SOW</t>
  </si>
  <si>
    <t>Start Date</t>
  </si>
  <si>
    <t>End Date</t>
  </si>
  <si>
    <t>Allocation</t>
  </si>
  <si>
    <t>HOURLY COST
(DO NOT EDIT)</t>
  </si>
  <si>
    <t>COST
SUB TOTAL</t>
  </si>
  <si>
    <t>Billed Hourly Rate</t>
  </si>
  <si>
    <t>SUB TOTAL</t>
  </si>
  <si>
    <t>BOS - Product Owner</t>
  </si>
  <si>
    <t>Product Manager</t>
  </si>
  <si>
    <t>LEGEND</t>
  </si>
  <si>
    <t>IDR - Project Manager</t>
  </si>
  <si>
    <t>IDR - Sr. Project Manager</t>
  </si>
  <si>
    <t>Do Not Edit</t>
  </si>
  <si>
    <t>IDR - Software Engineer</t>
  </si>
  <si>
    <t>Technical lead</t>
  </si>
  <si>
    <t>Edit</t>
  </si>
  <si>
    <t>IDR - Business Analyst</t>
  </si>
  <si>
    <t>Senior engineer</t>
  </si>
  <si>
    <t>Quality Lead</t>
  </si>
  <si>
    <t>Lab BA</t>
  </si>
  <si>
    <t>IDR-Project Manager</t>
  </si>
  <si>
    <t>BOS - Contractor</t>
  </si>
  <si>
    <t>IDR - Quality Engineer</t>
  </si>
  <si>
    <t>IDR - Sr. Software Engineer</t>
  </si>
  <si>
    <t>IDR - Sr. Quality Engineer</t>
  </si>
  <si>
    <t xml:space="preserve">QA engineer </t>
  </si>
  <si>
    <t>Vet BA</t>
  </si>
  <si>
    <t>Override Revenue</t>
  </si>
  <si>
    <t xml:space="preserve"> &lt;&lt; Make sure this is correct</t>
  </si>
  <si>
    <t>Override People Cost (If contractor)</t>
  </si>
  <si>
    <t>Risk Buffer</t>
  </si>
  <si>
    <t>SG&amp;A</t>
  </si>
  <si>
    <t>People Utilization Adjustment</t>
  </si>
  <si>
    <t>Gross Margin</t>
  </si>
  <si>
    <r>
      <rPr>
        <b/>
        <sz val="10"/>
        <color theme="1"/>
        <rFont val="Arial"/>
        <family val="2"/>
      </rPr>
      <t xml:space="preserve">NET MARGIN
</t>
    </r>
    <r>
      <rPr>
        <sz val="10"/>
        <color theme="1"/>
        <rFont val="Arial"/>
        <family val="2"/>
      </rPr>
      <t>(Green 45+, Yellow: 35-40, Red: Under 35)</t>
    </r>
  </si>
  <si>
    <t>Hourly Rate</t>
  </si>
  <si>
    <t>IDR-Project Management-Lead Project Manager</t>
  </si>
  <si>
    <t>PM</t>
  </si>
  <si>
    <t>IDR-Data Services-Lead Developer</t>
  </si>
  <si>
    <t>AI Architect</t>
  </si>
  <si>
    <t>IDR-QA-Manual-Quality Assurance Eng</t>
  </si>
  <si>
    <t>QA</t>
  </si>
  <si>
    <t>BLR-DevOps-Lead DevOps Engineer</t>
  </si>
  <si>
    <t>Cloud Engineer</t>
  </si>
  <si>
    <t>IDR-Backend-Lead software Engineer</t>
  </si>
  <si>
    <t>AI Engineer</t>
  </si>
  <si>
    <t>People Cost</t>
  </si>
  <si>
    <t xml:space="preserve"> Below 50% - Seek management approval
</t>
  </si>
  <si>
    <t xml:space="preserve">T&amp;M Rate: $75/hr </t>
  </si>
  <si>
    <t>Location</t>
  </si>
  <si>
    <t>Community</t>
  </si>
  <si>
    <t>Role</t>
  </si>
  <si>
    <t>Listed Role</t>
  </si>
  <si>
    <t>Gross Hourly Cost to Company</t>
  </si>
  <si>
    <t xml:space="preserve">Rate Card </t>
  </si>
  <si>
    <t>Planning Parameters</t>
  </si>
  <si>
    <t>IDR</t>
  </si>
  <si>
    <t>Backend</t>
  </si>
  <si>
    <t>Associate Software Eng</t>
  </si>
  <si>
    <t>Lead software Engineer</t>
  </si>
  <si>
    <t>Utiliation Gaps</t>
  </si>
  <si>
    <t>Senior software Engineer</t>
  </si>
  <si>
    <t>Start-up</t>
  </si>
  <si>
    <t>Software Engineer</t>
  </si>
  <si>
    <t>Technical Architect</t>
  </si>
  <si>
    <t>Business Analyst</t>
  </si>
  <si>
    <t>Associate Business Analyst</t>
  </si>
  <si>
    <t>BGR Utiliation Gaps</t>
  </si>
  <si>
    <t>Lead Business Analyst</t>
  </si>
  <si>
    <t>Senior Business Analyst</t>
  </si>
  <si>
    <t>Data Services</t>
  </si>
  <si>
    <t>Database Administrator</t>
  </si>
  <si>
    <t>Lead Developer</t>
  </si>
  <si>
    <t>Senior Data Analyst</t>
  </si>
  <si>
    <t>Data Analyst</t>
  </si>
  <si>
    <t>DevOps</t>
  </si>
  <si>
    <t>Lead DevOps Engineer</t>
  </si>
  <si>
    <t>Front-end</t>
  </si>
  <si>
    <t>Project Management</t>
  </si>
  <si>
    <t>Lead Project Manager</t>
  </si>
  <si>
    <t>Project Manager</t>
  </si>
  <si>
    <t>QA-Automation</t>
  </si>
  <si>
    <t>Lead QA Engineer</t>
  </si>
  <si>
    <t>Quality Assurance Eng</t>
  </si>
  <si>
    <t>QA-Manual</t>
  </si>
  <si>
    <t>Senior Qualaity Assurence Eng</t>
  </si>
  <si>
    <t>RPA</t>
  </si>
  <si>
    <t>Salesforce</t>
  </si>
  <si>
    <t>SharePoint</t>
  </si>
  <si>
    <t>UX-Design</t>
  </si>
  <si>
    <t>Senior Designer</t>
  </si>
  <si>
    <t>Consultant</t>
  </si>
  <si>
    <t>Associate Consultant</t>
  </si>
  <si>
    <t>Sr. Consultant</t>
  </si>
  <si>
    <t>Consultant-Architect</t>
  </si>
  <si>
    <t>BLR</t>
  </si>
  <si>
    <t>BOS</t>
  </si>
  <si>
    <t>Product Owner</t>
  </si>
  <si>
    <t>Senior Product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</si>
</sst>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&quot;-&quot;mmm"/>
    <numFmt numFmtId="165" formatCode="&quot;$&quot;#,##0"/>
    <numFmt numFmtId="166" formatCode="&quot;$&quot;#,##0.00"/>
  </numFmts>
  <fonts count="1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b/>
      <sz val="14"/>
      <color theme="1"/>
      <name val="Arial"/>
      <family val="2"/>
    </font>
    <font>
      <sz val="10"/>
      <color rgb="FF000000"/>
      <name val="Arial"/>
      <family val="2"/>
    </font>
    <font>
      <sz val="10"/>
      <color theme="0"/>
      <name val="Arial"/>
      <family val="2"/>
    </font>
    <font>
      <b/>
      <sz val="11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A500A3"/>
        <bgColor rgb="FF00FF00"/>
      </patternFill>
    </fill>
    <fill>
      <patternFill patternType="solid">
        <fgColor rgb="FF9999FF"/>
        <bgColor indexed="64"/>
      </patternFill>
    </fill>
    <fill>
      <patternFill patternType="solid">
        <fgColor rgb="FF9999FF"/>
        <bgColor rgb="FF00FF00"/>
      </patternFill>
    </fill>
    <fill>
      <patternFill patternType="solid">
        <fgColor theme="0"/>
        <bgColor rgb="FF00FF0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/>
    <xf numFmtId="0" fontId="3" fillId="2" borderId="1" xfId="0" applyFont="1" applyFill="1" applyBorder="1"/>
    <xf numFmtId="164" fontId="2" fillId="0" borderId="0" xfId="0" applyNumberFormat="1" applyFont="1"/>
    <xf numFmtId="9" fontId="2" fillId="0" borderId="0" xfId="0" applyNumberFormat="1" applyFont="1"/>
    <xf numFmtId="0" fontId="3" fillId="0" borderId="0" xfId="0" applyFont="1"/>
    <xf numFmtId="0" fontId="4" fillId="0" borderId="0" xfId="0" applyFont="1"/>
    <xf numFmtId="0" fontId="6" fillId="2" borderId="3" xfId="0" applyFont="1" applyFill="1" applyBorder="1" applyAlignment="1">
      <alignment horizontal="right"/>
    </xf>
    <xf numFmtId="165" fontId="6" fillId="2" borderId="3" xfId="0" applyNumberFormat="1" applyFont="1" applyFill="1" applyBorder="1"/>
    <xf numFmtId="165" fontId="2" fillId="3" borderId="4" xfId="0" applyNumberFormat="1" applyFont="1" applyFill="1" applyBorder="1"/>
    <xf numFmtId="165" fontId="2" fillId="0" borderId="0" xfId="0" applyNumberFormat="1" applyFont="1"/>
    <xf numFmtId="165" fontId="2" fillId="2" borderId="4" xfId="0" applyNumberFormat="1" applyFont="1" applyFill="1" applyBorder="1"/>
    <xf numFmtId="1" fontId="2" fillId="0" borderId="0" xfId="0" applyNumberFormat="1" applyFont="1"/>
    <xf numFmtId="9" fontId="7" fillId="2" borderId="1" xfId="0" applyNumberFormat="1" applyFont="1" applyFill="1" applyBorder="1"/>
    <xf numFmtId="10" fontId="2" fillId="0" borderId="0" xfId="0" applyNumberFormat="1" applyFont="1"/>
    <xf numFmtId="166" fontId="2" fillId="0" borderId="0" xfId="0" applyNumberFormat="1" applyFont="1"/>
    <xf numFmtId="0" fontId="2" fillId="0" borderId="1" xfId="0" applyFont="1" applyBorder="1"/>
    <xf numFmtId="0" fontId="2" fillId="2" borderId="1" xfId="0" applyFont="1" applyFill="1" applyBorder="1"/>
    <xf numFmtId="164" fontId="2" fillId="0" borderId="1" xfId="0" applyNumberFormat="1" applyFont="1" applyBorder="1"/>
    <xf numFmtId="9" fontId="2" fillId="0" borderId="1" xfId="0" applyNumberFormat="1" applyFont="1" applyBorder="1"/>
    <xf numFmtId="165" fontId="2" fillId="2" borderId="1" xfId="0" applyNumberFormat="1" applyFont="1" applyFill="1" applyBorder="1"/>
    <xf numFmtId="9" fontId="2" fillId="2" borderId="1" xfId="0" applyNumberFormat="1" applyFont="1" applyFill="1" applyBorder="1"/>
    <xf numFmtId="3" fontId="2" fillId="0" borderId="0" xfId="0" applyNumberFormat="1" applyFont="1"/>
    <xf numFmtId="9" fontId="2" fillId="0" borderId="1" xfId="0" applyNumberFormat="1" applyFont="1" applyBorder="1" applyAlignment="1">
      <alignment horizontal="right"/>
    </xf>
    <xf numFmtId="165" fontId="2" fillId="2" borderId="5" xfId="0" applyNumberFormat="1" applyFont="1" applyFill="1" applyBorder="1"/>
    <xf numFmtId="0" fontId="2" fillId="4" borderId="5" xfId="0" applyFont="1" applyFill="1" applyBorder="1"/>
    <xf numFmtId="165" fontId="8" fillId="0" borderId="0" xfId="0" applyNumberFormat="1" applyFont="1"/>
    <xf numFmtId="0" fontId="1" fillId="4" borderId="5" xfId="0" applyFont="1" applyFill="1" applyBorder="1"/>
    <xf numFmtId="165" fontId="1" fillId="4" borderId="5" xfId="0" applyNumberFormat="1" applyFont="1" applyFill="1" applyBorder="1"/>
    <xf numFmtId="0" fontId="3" fillId="4" borderId="5" xfId="0" applyFont="1" applyFill="1" applyBorder="1"/>
    <xf numFmtId="165" fontId="2" fillId="6" borderId="5" xfId="0" applyNumberFormat="1" applyFont="1" applyFill="1" applyBorder="1"/>
    <xf numFmtId="165" fontId="2" fillId="6" borderId="5" xfId="0" applyNumberFormat="1" applyFont="1" applyFill="1" applyBorder="1" applyAlignment="1">
      <alignment horizontal="right"/>
    </xf>
    <xf numFmtId="165" fontId="6" fillId="6" borderId="3" xfId="0" applyNumberFormat="1" applyFont="1" applyFill="1" applyBorder="1"/>
    <xf numFmtId="0" fontId="10" fillId="5" borderId="1" xfId="0" applyFont="1" applyFill="1" applyBorder="1"/>
    <xf numFmtId="0" fontId="6" fillId="6" borderId="8" xfId="0" applyFont="1" applyFill="1" applyBorder="1" applyAlignment="1">
      <alignment horizontal="right"/>
    </xf>
    <xf numFmtId="165" fontId="6" fillId="6" borderId="8" xfId="0" applyNumberFormat="1" applyFont="1" applyFill="1" applyBorder="1"/>
    <xf numFmtId="0" fontId="3" fillId="6" borderId="8" xfId="0" applyFont="1" applyFill="1" applyBorder="1"/>
    <xf numFmtId="165" fontId="2" fillId="8" borderId="4" xfId="0" applyNumberFormat="1" applyFont="1" applyFill="1" applyBorder="1"/>
    <xf numFmtId="0" fontId="8" fillId="0" borderId="0" xfId="0" applyFont="1"/>
    <xf numFmtId="0" fontId="6" fillId="0" borderId="0" xfId="0" applyFont="1"/>
    <xf numFmtId="0" fontId="9" fillId="5" borderId="5" xfId="0" applyFont="1" applyFill="1" applyBorder="1"/>
    <xf numFmtId="9" fontId="2" fillId="7" borderId="5" xfId="0" applyNumberFormat="1" applyFont="1" applyFill="1" applyBorder="1"/>
    <xf numFmtId="0" fontId="2" fillId="2" borderId="5" xfId="0" applyFont="1" applyFill="1" applyBorder="1"/>
    <xf numFmtId="0" fontId="3" fillId="0" borderId="3" xfId="0" applyFont="1" applyBorder="1"/>
    <xf numFmtId="9" fontId="2" fillId="4" borderId="5" xfId="0" applyNumberFormat="1" applyFont="1" applyFill="1" applyBorder="1"/>
    <xf numFmtId="165" fontId="0" fillId="0" borderId="0" xfId="0" applyNumberFormat="1"/>
    <xf numFmtId="166" fontId="0" fillId="0" borderId="0" xfId="0" applyNumberFormat="1"/>
    <xf numFmtId="0" fontId="2" fillId="0" borderId="0" xfId="0" applyFont="1" applyAlignment="1">
      <alignment horizontal="right"/>
    </xf>
    <xf numFmtId="0" fontId="3" fillId="2" borderId="5" xfId="0" applyFont="1" applyFill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2" fillId="3" borderId="5" xfId="0" applyFont="1" applyFill="1" applyBorder="1" applyAlignment="1">
      <alignment horizontal="right"/>
    </xf>
    <xf numFmtId="0" fontId="3" fillId="0" borderId="7" xfId="0" applyFont="1" applyBorder="1" applyAlignment="1">
      <alignment horizontal="right"/>
    </xf>
    <xf numFmtId="0" fontId="2" fillId="3" borderId="6" xfId="0" applyFont="1" applyFill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3" fillId="0" borderId="10" xfId="0" applyFont="1" applyBorder="1" applyAlignment="1">
      <alignment horizontal="right"/>
    </xf>
    <xf numFmtId="0" fontId="3" fillId="0" borderId="11" xfId="0" applyFont="1" applyBorder="1" applyAlignment="1">
      <alignment horizontal="right"/>
    </xf>
    <xf numFmtId="0" fontId="5" fillId="0" borderId="3" xfId="0" applyFont="1" applyBorder="1" applyAlignment="1"/>
    <xf numFmtId="0" fontId="5" fillId="0" borderId="5" xfId="0" applyFont="1" applyBorder="1" applyAlignment="1"/>
    <xf numFmtId="0" fontId="0" fillId="0" borderId="0" xfId="0" applyAlignment="1"/>
    <xf numFmtId="0" fontId="5" fillId="0" borderId="8" xfId="0" applyFont="1" applyBorder="1" applyAlignment="1"/>
    <xf numFmtId="0" fontId="5" fillId="0" borderId="6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99FF"/>
      <color rgb="FFCC99FF"/>
      <color rgb="FFA500A3"/>
      <color rgb="FF9933FF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37" Type="http://schemas.openxmlformats.org/officeDocument/2006/relationships/styles" Target="styles.xml"/><Relationship Id="rId36" Type="http://schemas.openxmlformats.org/officeDocument/2006/relationships/theme" Target="theme/theme1.xml"/><Relationship Id="rId4" Type="http://schemas.openxmlformats.org/officeDocument/2006/relationships/worksheet" Target="worksheets/sheet4.xml"/><Relationship Id="rId3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592AE-C3D0-4A39-AE29-88E143E80BA9}">
  <dimension ref="A1:B10"/>
  <sheetViews>
    <sheetView workbookViewId="0">
      <selection activeCell="B4" sqref="B4"/>
    </sheetView>
  </sheetViews>
  <sheetFormatPr defaultRowHeight="12.75"/>
  <sheetData>
    <row r="1" spans="1:2" ht="13.15">
      <c r="A1" s="39" t="s">
        <v>0</v>
      </c>
    </row>
    <row r="2" spans="1:2">
      <c r="A2">
        <v>1.1000000000000001</v>
      </c>
      <c r="B2" s="38" t="s">
        <v>1</v>
      </c>
    </row>
    <row r="3" spans="1:2">
      <c r="A3">
        <v>1.1000000000000001</v>
      </c>
      <c r="B3" t="s">
        <v>2</v>
      </c>
    </row>
    <row r="9" spans="1:2" ht="13.15">
      <c r="A9" s="39" t="s">
        <v>3</v>
      </c>
    </row>
    <row r="10" spans="1:2">
      <c r="A10" s="38" t="s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95725-1F4B-4707-B9EE-7F28FB8163D3}">
  <dimension ref="A1:V977"/>
  <sheetViews>
    <sheetView workbookViewId="0">
      <selection activeCell="A21" sqref="A21"/>
    </sheetView>
  </sheetViews>
  <sheetFormatPr defaultColWidth="14.42578125" defaultRowHeight="15" customHeight="1"/>
  <cols>
    <col min="1" max="1" width="33.140625" customWidth="1"/>
    <col min="2" max="2" width="22.42578125" customWidth="1"/>
    <col min="4" max="4" width="16.85546875" customWidth="1"/>
    <col min="8" max="8" width="12.5703125" customWidth="1"/>
  </cols>
  <sheetData>
    <row r="1" spans="1:22" ht="12.75" customHeight="1">
      <c r="A1" s="42" t="s">
        <v>5</v>
      </c>
      <c r="B1" s="1" t="s">
        <v>6</v>
      </c>
      <c r="G1" s="1" t="s">
        <v>7</v>
      </c>
    </row>
    <row r="2" spans="1:22" ht="12.75" customHeight="1">
      <c r="A2" s="42" t="s">
        <v>8</v>
      </c>
      <c r="B2" s="1" t="s">
        <v>9</v>
      </c>
    </row>
    <row r="3" spans="1:22" ht="12.75" customHeight="1"/>
    <row r="4" spans="1:22" ht="12.75" customHeight="1">
      <c r="A4" s="2" t="s">
        <v>10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17</v>
      </c>
      <c r="I4" s="2" t="s">
        <v>18</v>
      </c>
    </row>
    <row r="5" spans="1:22" ht="12.75" customHeight="1">
      <c r="A5" s="1" t="s">
        <v>19</v>
      </c>
      <c r="B5" s="16" t="s">
        <v>20</v>
      </c>
      <c r="C5" s="18">
        <v>44449</v>
      </c>
      <c r="D5" s="18">
        <v>44561</v>
      </c>
      <c r="E5" s="23">
        <v>1</v>
      </c>
      <c r="F5" s="24">
        <f>IFERROR(VLOOKUP(A5,'Finance team only'!D:E,2,FALSE),0)</f>
        <v>0</v>
      </c>
      <c r="G5" s="20">
        <f t="shared" ref="G5:G28" si="0">NETWORKDAYS(C5,D5)*8*E5*F5</f>
        <v>0</v>
      </c>
      <c r="H5" s="16">
        <v>35</v>
      </c>
      <c r="I5" s="20">
        <f t="shared" ref="I5:I28" si="1">NETWORKDAYS(C5,D5)*8*E5*H5</f>
        <v>22680</v>
      </c>
      <c r="L5" s="5" t="s">
        <v>21</v>
      </c>
    </row>
    <row r="6" spans="1:22" ht="12.75" customHeight="1">
      <c r="A6" s="1" t="s">
        <v>22</v>
      </c>
      <c r="B6" s="16" t="s">
        <v>23</v>
      </c>
      <c r="C6" s="18">
        <v>44449</v>
      </c>
      <c r="D6" s="18">
        <v>44561</v>
      </c>
      <c r="E6" s="23">
        <v>1</v>
      </c>
      <c r="F6" s="24">
        <f>IFERROR(VLOOKUP(A6,'Finance team only'!D:E,2,FALSE),0)</f>
        <v>0</v>
      </c>
      <c r="G6" s="20">
        <f t="shared" si="0"/>
        <v>0</v>
      </c>
      <c r="H6" s="16">
        <v>35</v>
      </c>
      <c r="I6" s="20">
        <f t="shared" si="1"/>
        <v>22680</v>
      </c>
      <c r="L6" s="42" t="s">
        <v>24</v>
      </c>
    </row>
    <row r="7" spans="1:22" ht="12.75" customHeight="1">
      <c r="A7" s="1" t="s">
        <v>25</v>
      </c>
      <c r="B7" s="16" t="s">
        <v>26</v>
      </c>
      <c r="C7" s="18">
        <v>44449</v>
      </c>
      <c r="D7" s="18">
        <v>44561</v>
      </c>
      <c r="E7" s="23">
        <v>1</v>
      </c>
      <c r="F7" s="24">
        <f>IFERROR(VLOOKUP(A7,'Finance team only'!D:E,2,FALSE),0)</f>
        <v>0</v>
      </c>
      <c r="G7" s="20">
        <f t="shared" si="0"/>
        <v>0</v>
      </c>
      <c r="H7" s="16">
        <v>35</v>
      </c>
      <c r="I7" s="20">
        <f t="shared" si="1"/>
        <v>22680</v>
      </c>
      <c r="J7" s="15"/>
      <c r="K7" s="1"/>
      <c r="L7" s="16" t="s">
        <v>27</v>
      </c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2.75" customHeight="1">
      <c r="A8" s="1" t="s">
        <v>28</v>
      </c>
      <c r="B8" s="16" t="s">
        <v>26</v>
      </c>
      <c r="C8" s="18">
        <v>44449</v>
      </c>
      <c r="D8" s="18">
        <v>44561</v>
      </c>
      <c r="E8" s="23">
        <v>1</v>
      </c>
      <c r="F8" s="24">
        <f>IFERROR(VLOOKUP(A8,'Finance team only'!D:E,2,FALSE),0)</f>
        <v>0</v>
      </c>
      <c r="G8" s="20">
        <f t="shared" si="0"/>
        <v>0</v>
      </c>
      <c r="H8" s="16">
        <v>35</v>
      </c>
      <c r="I8" s="20">
        <f t="shared" si="1"/>
        <v>22680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2.75" customHeight="1">
      <c r="A9" s="1" t="s">
        <v>25</v>
      </c>
      <c r="B9" s="16" t="s">
        <v>29</v>
      </c>
      <c r="C9" s="18">
        <v>44449</v>
      </c>
      <c r="D9" s="18">
        <v>44561</v>
      </c>
      <c r="E9" s="23">
        <v>1</v>
      </c>
      <c r="F9" s="24">
        <f>IFERROR(VLOOKUP(A9,'Finance team only'!D:E,2,FALSE),0)</f>
        <v>0</v>
      </c>
      <c r="G9" s="20">
        <f t="shared" si="0"/>
        <v>0</v>
      </c>
      <c r="H9" s="16">
        <v>35</v>
      </c>
      <c r="I9" s="20">
        <f t="shared" si="1"/>
        <v>22680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2.75" customHeight="1">
      <c r="A10" s="1" t="s">
        <v>25</v>
      </c>
      <c r="B10" s="16" t="s">
        <v>29</v>
      </c>
      <c r="C10" s="18">
        <v>44449</v>
      </c>
      <c r="D10" s="18">
        <v>44561</v>
      </c>
      <c r="E10" s="23">
        <v>1</v>
      </c>
      <c r="F10" s="24">
        <f>IFERROR(VLOOKUP(A10,'Finance team only'!D:E,2,FALSE),0)</f>
        <v>0</v>
      </c>
      <c r="G10" s="20">
        <f t="shared" si="0"/>
        <v>0</v>
      </c>
      <c r="H10" s="16">
        <v>35</v>
      </c>
      <c r="I10" s="20">
        <f t="shared" si="1"/>
        <v>22680</v>
      </c>
    </row>
    <row r="11" spans="1:22" ht="12.75" customHeight="1">
      <c r="A11" s="1" t="s">
        <v>25</v>
      </c>
      <c r="B11" s="16" t="s">
        <v>29</v>
      </c>
      <c r="C11" s="18">
        <v>44449</v>
      </c>
      <c r="D11" s="18">
        <v>44561</v>
      </c>
      <c r="E11" s="23">
        <v>1</v>
      </c>
      <c r="F11" s="24">
        <f>IFERROR(VLOOKUP(A11,'Finance team only'!D:E,2,FALSE),0)</f>
        <v>0</v>
      </c>
      <c r="G11" s="20">
        <f t="shared" si="0"/>
        <v>0</v>
      </c>
      <c r="H11" s="16">
        <v>35</v>
      </c>
      <c r="I11" s="20">
        <f t="shared" si="1"/>
        <v>22680</v>
      </c>
      <c r="K11" s="1"/>
      <c r="L11" s="1"/>
    </row>
    <row r="12" spans="1:22" ht="12.75" customHeight="1">
      <c r="A12" s="1" t="s">
        <v>25</v>
      </c>
      <c r="B12" s="16" t="s">
        <v>30</v>
      </c>
      <c r="C12" s="18">
        <v>44449</v>
      </c>
      <c r="D12" s="18">
        <v>44561</v>
      </c>
      <c r="E12" s="23">
        <v>1</v>
      </c>
      <c r="F12" s="24">
        <f>IFERROR(VLOOKUP(A12,'Finance team only'!D:E,2,FALSE),0)</f>
        <v>0</v>
      </c>
      <c r="G12" s="20">
        <f t="shared" si="0"/>
        <v>0</v>
      </c>
      <c r="H12" s="16">
        <v>35</v>
      </c>
      <c r="I12" s="20">
        <f t="shared" si="1"/>
        <v>22680</v>
      </c>
      <c r="K12" s="1"/>
      <c r="L12" s="1"/>
    </row>
    <row r="13" spans="1:22" ht="12.75" customHeight="1">
      <c r="A13" s="1" t="s">
        <v>25</v>
      </c>
      <c r="B13" s="16" t="s">
        <v>31</v>
      </c>
      <c r="C13" s="18">
        <v>44449</v>
      </c>
      <c r="D13" s="18">
        <v>44561</v>
      </c>
      <c r="E13" s="23">
        <v>1</v>
      </c>
      <c r="F13" s="24">
        <f>IFERROR(VLOOKUP(A13,'Finance team only'!D:E,2,FALSE),0)</f>
        <v>0</v>
      </c>
      <c r="G13" s="20">
        <f t="shared" si="0"/>
        <v>0</v>
      </c>
      <c r="H13" s="16">
        <v>35</v>
      </c>
      <c r="I13" s="20">
        <f t="shared" si="1"/>
        <v>22680</v>
      </c>
    </row>
    <row r="14" spans="1:22" ht="12.75" customHeight="1">
      <c r="A14" s="1" t="s">
        <v>25</v>
      </c>
      <c r="B14" s="16" t="s">
        <v>32</v>
      </c>
      <c r="C14" s="18">
        <v>44449</v>
      </c>
      <c r="D14" s="18">
        <v>44561</v>
      </c>
      <c r="E14" s="23">
        <v>1</v>
      </c>
      <c r="F14" s="24">
        <f>IFERROR(VLOOKUP(A14,'Finance team only'!D:E,2,FALSE),0)</f>
        <v>0</v>
      </c>
      <c r="G14" s="20">
        <f t="shared" si="0"/>
        <v>0</v>
      </c>
      <c r="H14" s="16">
        <v>35</v>
      </c>
      <c r="I14" s="20">
        <f t="shared" si="1"/>
        <v>22680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2.75" customHeight="1">
      <c r="A15" s="1" t="s">
        <v>25</v>
      </c>
      <c r="B15" s="16" t="s">
        <v>26</v>
      </c>
      <c r="C15" s="18">
        <v>44449</v>
      </c>
      <c r="D15" s="18">
        <v>44561</v>
      </c>
      <c r="E15" s="23">
        <v>1</v>
      </c>
      <c r="F15" s="24">
        <f>IFERROR(VLOOKUP(A15,'Finance team only'!D:E,2,FALSE),0)</f>
        <v>0</v>
      </c>
      <c r="G15" s="20">
        <f t="shared" si="0"/>
        <v>0</v>
      </c>
      <c r="H15" s="16">
        <v>35</v>
      </c>
      <c r="I15" s="20">
        <f t="shared" si="1"/>
        <v>22680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2.75" customHeight="1">
      <c r="A16" s="1" t="s">
        <v>25</v>
      </c>
      <c r="B16" s="16" t="s">
        <v>26</v>
      </c>
      <c r="C16" s="18">
        <v>44449</v>
      </c>
      <c r="D16" s="18">
        <v>44561</v>
      </c>
      <c r="E16" s="23">
        <v>1</v>
      </c>
      <c r="F16" s="24">
        <f>IFERROR(VLOOKUP(A16,'Finance team only'!D:E,2,FALSE),0)</f>
        <v>0</v>
      </c>
      <c r="G16" s="20">
        <f t="shared" si="0"/>
        <v>0</v>
      </c>
      <c r="H16" s="16">
        <v>35</v>
      </c>
      <c r="I16" s="20">
        <f t="shared" si="1"/>
        <v>22680</v>
      </c>
    </row>
    <row r="17" spans="1:22" ht="12.75" customHeight="1">
      <c r="A17" s="1" t="s">
        <v>25</v>
      </c>
      <c r="B17" s="16" t="s">
        <v>29</v>
      </c>
      <c r="C17" s="18">
        <v>44449</v>
      </c>
      <c r="D17" s="18">
        <v>44561</v>
      </c>
      <c r="E17" s="23">
        <v>1</v>
      </c>
      <c r="F17" s="24">
        <f>IFERROR(VLOOKUP(A17,'Finance team only'!D:E,2,FALSE),0)</f>
        <v>0</v>
      </c>
      <c r="G17" s="20">
        <f t="shared" si="0"/>
        <v>0</v>
      </c>
      <c r="H17" s="16">
        <v>35</v>
      </c>
      <c r="I17" s="20">
        <f t="shared" si="1"/>
        <v>22680</v>
      </c>
    </row>
    <row r="18" spans="1:22" ht="12.75" customHeight="1">
      <c r="A18" s="1" t="s">
        <v>25</v>
      </c>
      <c r="B18" s="16"/>
      <c r="C18" s="18"/>
      <c r="D18" s="18"/>
      <c r="E18" s="23"/>
      <c r="F18" s="24"/>
      <c r="G18" s="20"/>
      <c r="H18" s="16"/>
      <c r="I18" s="20"/>
    </row>
    <row r="19" spans="1:22" ht="12.75" customHeight="1">
      <c r="A19" s="16" t="s">
        <v>33</v>
      </c>
      <c r="B19" s="16"/>
      <c r="C19" s="18"/>
      <c r="D19" s="18"/>
      <c r="E19" s="23"/>
      <c r="F19" s="24"/>
      <c r="G19" s="20"/>
      <c r="H19" s="16"/>
      <c r="I19" s="20"/>
    </row>
    <row r="20" spans="1:22" ht="12.75" customHeight="1">
      <c r="A20" s="1" t="s">
        <v>34</v>
      </c>
      <c r="B20" s="16"/>
      <c r="C20" s="18"/>
      <c r="D20" s="18"/>
      <c r="E20" s="23"/>
      <c r="F20" s="24"/>
      <c r="G20" s="20"/>
      <c r="H20" s="16"/>
      <c r="I20" s="20"/>
    </row>
    <row r="21" spans="1:22" ht="12.75" customHeight="1">
      <c r="A21" s="1" t="s">
        <v>34</v>
      </c>
      <c r="B21" s="16"/>
      <c r="C21" s="18"/>
      <c r="D21" s="18"/>
      <c r="E21" s="23"/>
      <c r="F21" s="24"/>
      <c r="G21" s="20"/>
      <c r="H21" s="16"/>
      <c r="I21" s="20"/>
    </row>
    <row r="22" spans="1:22" ht="12.75" customHeight="1">
      <c r="A22" s="1"/>
      <c r="B22" s="16"/>
      <c r="C22" s="18"/>
      <c r="D22" s="18"/>
      <c r="E22" s="23"/>
      <c r="F22" s="24"/>
      <c r="G22" s="20"/>
      <c r="H22" s="16"/>
      <c r="I22" s="20"/>
    </row>
    <row r="23" spans="1:22" ht="12.75" customHeight="1">
      <c r="A23" s="1"/>
      <c r="B23" s="16"/>
      <c r="C23" s="18"/>
      <c r="D23" s="18"/>
      <c r="E23" s="23"/>
      <c r="F23" s="24"/>
      <c r="G23" s="20"/>
      <c r="H23" s="16"/>
      <c r="I23" s="20"/>
    </row>
    <row r="24" spans="1:22" ht="12.75" customHeight="1">
      <c r="A24" s="1"/>
      <c r="B24" s="16"/>
      <c r="C24" s="18"/>
      <c r="D24" s="18"/>
      <c r="E24" s="23"/>
      <c r="F24" s="24"/>
      <c r="G24" s="20"/>
      <c r="H24" s="16"/>
      <c r="I24" s="20"/>
    </row>
    <row r="25" spans="1:22" ht="12.75" customHeight="1">
      <c r="A25" s="1" t="s">
        <v>35</v>
      </c>
      <c r="B25" s="16" t="s">
        <v>29</v>
      </c>
      <c r="C25" s="18">
        <v>44449</v>
      </c>
      <c r="D25" s="18">
        <v>44561</v>
      </c>
      <c r="E25" s="23">
        <v>1</v>
      </c>
      <c r="F25" s="24">
        <f>IFERROR(VLOOKUP(A25,'Finance team only'!D:E,2,FALSE),0)</f>
        <v>0</v>
      </c>
      <c r="G25" s="20">
        <f t="shared" si="0"/>
        <v>0</v>
      </c>
      <c r="H25" s="16">
        <v>35</v>
      </c>
      <c r="I25" s="20">
        <f t="shared" si="1"/>
        <v>22680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2.75" customHeight="1">
      <c r="A26" s="1" t="s">
        <v>35</v>
      </c>
      <c r="B26" s="16" t="s">
        <v>29</v>
      </c>
      <c r="C26" s="18">
        <v>44449</v>
      </c>
      <c r="D26" s="18">
        <v>44561</v>
      </c>
      <c r="E26" s="23">
        <v>1</v>
      </c>
      <c r="F26" s="24">
        <f>IFERROR(VLOOKUP(A26,'Finance team only'!D:E,2,FALSE),0)</f>
        <v>0</v>
      </c>
      <c r="G26" s="20">
        <f t="shared" si="0"/>
        <v>0</v>
      </c>
      <c r="H26" s="16">
        <v>35</v>
      </c>
      <c r="I26" s="20">
        <f t="shared" si="1"/>
        <v>22680</v>
      </c>
    </row>
    <row r="27" spans="1:22" ht="12.75" customHeight="1">
      <c r="A27" s="1" t="s">
        <v>36</v>
      </c>
      <c r="B27" s="16" t="s">
        <v>37</v>
      </c>
      <c r="C27" s="18">
        <v>44449</v>
      </c>
      <c r="D27" s="18">
        <v>44561</v>
      </c>
      <c r="E27" s="23">
        <v>1</v>
      </c>
      <c r="F27" s="24">
        <f>IFERROR(VLOOKUP(A27,'Finance team only'!D:E,2,FALSE),0)</f>
        <v>0</v>
      </c>
      <c r="G27" s="20">
        <f t="shared" si="0"/>
        <v>0</v>
      </c>
      <c r="H27" s="16">
        <v>35</v>
      </c>
      <c r="I27" s="20">
        <f t="shared" si="1"/>
        <v>22680</v>
      </c>
    </row>
    <row r="28" spans="1:22" ht="12.75" customHeight="1">
      <c r="A28" s="1" t="s">
        <v>28</v>
      </c>
      <c r="B28" s="16" t="s">
        <v>38</v>
      </c>
      <c r="C28" s="18">
        <v>44449</v>
      </c>
      <c r="D28" s="18">
        <v>44561</v>
      </c>
      <c r="E28" s="23">
        <v>1</v>
      </c>
      <c r="F28" s="24">
        <f>IFERROR(VLOOKUP(A28,'Finance team only'!D:E,2,FALSE),0)</f>
        <v>0</v>
      </c>
      <c r="G28" s="20">
        <f t="shared" si="0"/>
        <v>0</v>
      </c>
      <c r="H28" s="16">
        <v>35</v>
      </c>
      <c r="I28" s="20">
        <f t="shared" si="1"/>
        <v>22680</v>
      </c>
      <c r="L28" s="22"/>
    </row>
    <row r="29" spans="1:22" ht="12.75" customHeight="1">
      <c r="A29" s="16"/>
      <c r="B29" s="16"/>
      <c r="C29" s="18"/>
      <c r="D29" s="18"/>
      <c r="E29" s="19"/>
      <c r="F29" s="20"/>
      <c r="G29" s="17"/>
      <c r="H29" s="16"/>
      <c r="I29" s="20"/>
      <c r="L29" s="22"/>
    </row>
    <row r="30" spans="1:22" ht="12.75" customHeight="1">
      <c r="A30" s="16"/>
      <c r="B30" s="16"/>
      <c r="C30" s="18"/>
      <c r="D30" s="18"/>
      <c r="E30" s="19"/>
      <c r="F30" s="20"/>
      <c r="G30" s="20"/>
      <c r="H30" s="16"/>
      <c r="I30" s="20"/>
    </row>
    <row r="31" spans="1:22" ht="12.75" customHeight="1">
      <c r="A31" s="49"/>
      <c r="B31" s="56"/>
      <c r="C31" s="56"/>
      <c r="D31" s="56"/>
      <c r="E31" s="56"/>
      <c r="F31" s="7"/>
      <c r="G31" s="8">
        <f>SUM(G5:G30)</f>
        <v>0</v>
      </c>
      <c r="H31" s="43"/>
      <c r="I31" s="8">
        <f>SUM(I5:I30)</f>
        <v>385560</v>
      </c>
      <c r="J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 ht="17.25" customHeight="1">
      <c r="A32" s="50" t="s">
        <v>39</v>
      </c>
      <c r="B32" s="57"/>
      <c r="C32" s="57"/>
      <c r="D32" s="57"/>
      <c r="E32" s="57"/>
      <c r="F32" s="57"/>
      <c r="G32" s="57"/>
      <c r="H32" s="57"/>
      <c r="I32" s="9">
        <v>376040</v>
      </c>
      <c r="J32" s="1" t="s">
        <v>40</v>
      </c>
      <c r="K32" s="10"/>
    </row>
    <row r="33" spans="1:12" ht="17.25" customHeight="1">
      <c r="A33" s="50" t="s">
        <v>41</v>
      </c>
      <c r="B33" s="57"/>
      <c r="C33" s="57"/>
      <c r="D33" s="57"/>
      <c r="E33" s="57"/>
      <c r="F33" s="57"/>
      <c r="G33" s="57"/>
      <c r="H33" s="57"/>
      <c r="I33" s="11">
        <f>G31</f>
        <v>0</v>
      </c>
      <c r="K33" s="10"/>
    </row>
    <row r="34" spans="1:12" ht="17.25" customHeight="1">
      <c r="A34" s="50" t="s">
        <v>42</v>
      </c>
      <c r="B34" s="57"/>
      <c r="C34" s="57"/>
      <c r="D34" s="57"/>
      <c r="E34" s="57"/>
      <c r="F34" s="57"/>
      <c r="G34" s="57"/>
      <c r="H34" s="57"/>
      <c r="I34" s="11">
        <f>IF($B$2="Enterprise",'Finance team only'!I5*$I$32,'Finance team only'!I4*$I$32)</f>
        <v>7520.8</v>
      </c>
      <c r="K34" s="10"/>
    </row>
    <row r="35" spans="1:12" ht="17.25" customHeight="1">
      <c r="A35" s="50" t="s">
        <v>43</v>
      </c>
      <c r="B35" s="57"/>
      <c r="C35" s="57"/>
      <c r="D35" s="57"/>
      <c r="E35" s="57"/>
      <c r="F35" s="57"/>
      <c r="G35" s="57"/>
      <c r="H35" s="57"/>
      <c r="I35" s="11">
        <f>I32*'Finance team only'!I2</f>
        <v>75208</v>
      </c>
      <c r="K35" s="10"/>
    </row>
    <row r="36" spans="1:12" ht="17.25" customHeight="1">
      <c r="A36" s="50" t="s">
        <v>44</v>
      </c>
      <c r="B36" s="57"/>
      <c r="C36" s="57"/>
      <c r="D36" s="57"/>
      <c r="E36" s="57"/>
      <c r="F36" s="57"/>
      <c r="G36" s="57"/>
      <c r="H36" s="57"/>
      <c r="I36" s="11">
        <f>G31*'Finance team only'!I3</f>
        <v>0</v>
      </c>
      <c r="K36" s="10"/>
    </row>
    <row r="37" spans="1:12" ht="28.5" customHeight="1">
      <c r="A37" s="47" t="s">
        <v>45</v>
      </c>
      <c r="B37" s="58"/>
      <c r="C37" s="58"/>
      <c r="D37" s="58"/>
      <c r="E37" s="58"/>
      <c r="F37" s="58"/>
      <c r="G37" s="58"/>
      <c r="H37" s="58"/>
      <c r="I37" s="21">
        <f>(I32-G31)/I32</f>
        <v>1</v>
      </c>
      <c r="J37" s="1"/>
      <c r="L37" s="12"/>
    </row>
    <row r="38" spans="1:12" ht="27.75" customHeight="1">
      <c r="A38" s="48" t="s">
        <v>46</v>
      </c>
      <c r="B38" s="57"/>
      <c r="C38" s="57"/>
      <c r="D38" s="57"/>
      <c r="E38" s="57"/>
      <c r="F38" s="57"/>
      <c r="G38" s="57"/>
      <c r="H38" s="57"/>
      <c r="I38" s="13">
        <f>(I32-SUM(I33:I36))/I32</f>
        <v>0.78</v>
      </c>
      <c r="J38" s="1"/>
    </row>
    <row r="39" spans="1:12" ht="12.75" customHeight="1">
      <c r="B39" s="3"/>
      <c r="C39" s="3"/>
      <c r="D39" s="3"/>
      <c r="L39" s="4"/>
    </row>
    <row r="40" spans="1:12" ht="12.75" customHeight="1">
      <c r="B40" s="3"/>
      <c r="C40" s="3"/>
      <c r="D40" s="3"/>
      <c r="K40" s="4"/>
    </row>
    <row r="41" spans="1:12" ht="12.75" customHeight="1">
      <c r="B41" s="3"/>
      <c r="C41" s="3"/>
      <c r="D41" s="1"/>
      <c r="E41" s="1"/>
    </row>
    <row r="42" spans="1:12" ht="12.75" customHeight="1">
      <c r="B42" s="3"/>
      <c r="C42" s="3"/>
      <c r="D42" s="1"/>
      <c r="E42" s="1"/>
    </row>
    <row r="43" spans="1:12" ht="12.75" customHeight="1">
      <c r="B43" s="3"/>
      <c r="C43" s="3"/>
    </row>
    <row r="44" spans="1:12" ht="12.75" customHeight="1">
      <c r="B44" s="3"/>
      <c r="H44" s="5"/>
      <c r="K44" s="1"/>
    </row>
    <row r="45" spans="1:12" ht="12.75" customHeight="1">
      <c r="B45" s="3"/>
      <c r="C45" s="3"/>
      <c r="H45" s="1"/>
      <c r="I45" s="1"/>
      <c r="K45" s="12"/>
    </row>
    <row r="46" spans="1:12" ht="12.75" customHeight="1">
      <c r="H46" s="1"/>
      <c r="I46" s="1"/>
      <c r="K46" s="14"/>
    </row>
    <row r="47" spans="1:12" ht="12.75" customHeight="1">
      <c r="H47" s="1"/>
      <c r="I47" s="1"/>
    </row>
    <row r="48" spans="1:12" ht="12.75" customHeight="1">
      <c r="H48" s="1"/>
      <c r="I48" s="1"/>
    </row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</sheetData>
  <mergeCells count="8">
    <mergeCell ref="A37:H37"/>
    <mergeCell ref="A38:H38"/>
    <mergeCell ref="A31:E31"/>
    <mergeCell ref="A32:H32"/>
    <mergeCell ref="A33:H33"/>
    <mergeCell ref="A34:H34"/>
    <mergeCell ref="A35:H35"/>
    <mergeCell ref="A36:H36"/>
  </mergeCells>
  <dataValidations count="2">
    <dataValidation type="list" allowBlank="1" sqref="A39:A48" xr:uid="{05B64EA3-0DDE-4500-8210-3977B7475B73}">
      <formula1>"US PM,India Engineer"</formula1>
    </dataValidation>
    <dataValidation type="list" allowBlank="1" sqref="B2" xr:uid="{BC6CDFBC-0FF1-4F7A-9128-4FB5C997DBD4}">
      <formula1>"Start-up,Enterprise"</formula1>
    </dataValidation>
  </dataValidations>
  <pageMargins left="0.7" right="0.7" top="0.75" bottom="0.75" header="0" footer="0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F3898429-C22B-4C04-8B47-57DE57BE301E}">
          <x14:formula1>
            <xm:f>'Finance team only'!$D$2:$D$1049</xm:f>
          </x14:formula1>
          <xm:sqref>A5:A18 A20:A28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1C0F2-46DA-4385-A224-978C8B67926D}">
  <dimension ref="A1:K992"/>
  <sheetViews>
    <sheetView zoomScale="110" zoomScaleNormal="110" workbookViewId="0">
      <selection activeCell="D21" sqref="D21"/>
    </sheetView>
  </sheetViews>
  <sheetFormatPr defaultColWidth="14.42578125" defaultRowHeight="15" customHeight="1"/>
  <cols>
    <col min="1" max="1" width="49.5703125" customWidth="1"/>
    <col min="2" max="2" width="28.85546875" bestFit="1" customWidth="1"/>
    <col min="3" max="3" width="10.140625" bestFit="1" customWidth="1"/>
    <col min="4" max="4" width="9.5703125" bestFit="1" customWidth="1"/>
    <col min="5" max="5" width="10.5703125" bestFit="1" customWidth="1"/>
    <col min="6" max="6" width="29.28515625" customWidth="1"/>
    <col min="7" max="7" width="26.5703125" customWidth="1"/>
    <col min="8" max="8" width="12" bestFit="1" customWidth="1"/>
    <col min="9" max="9" width="12.42578125" bestFit="1" customWidth="1"/>
    <col min="10" max="26" width="8.7109375" customWidth="1"/>
  </cols>
  <sheetData>
    <row r="1" spans="1:11" ht="12.75" customHeight="1">
      <c r="A1" s="40" t="s">
        <v>5</v>
      </c>
      <c r="B1" s="1"/>
      <c r="G1" s="1"/>
    </row>
    <row r="2" spans="1:11" ht="12.75" customHeight="1"/>
    <row r="3" spans="1:11" ht="12.75" customHeight="1">
      <c r="A3" s="33" t="s">
        <v>10</v>
      </c>
      <c r="B3" s="33" t="s">
        <v>11</v>
      </c>
      <c r="C3" s="33" t="s">
        <v>12</v>
      </c>
      <c r="D3" s="33" t="s">
        <v>13</v>
      </c>
      <c r="E3" s="33" t="s">
        <v>14</v>
      </c>
      <c r="F3" s="33" t="s">
        <v>15</v>
      </c>
      <c r="G3" s="33" t="s">
        <v>16</v>
      </c>
      <c r="H3" s="33" t="s">
        <v>47</v>
      </c>
      <c r="I3" s="33" t="s">
        <v>18</v>
      </c>
    </row>
    <row r="4" spans="1:11" ht="12.75" customHeight="1">
      <c r="A4" s="1" t="s">
        <v>48</v>
      </c>
      <c r="B4" s="1" t="s">
        <v>49</v>
      </c>
      <c r="C4" s="3">
        <v>46083</v>
      </c>
      <c r="D4" s="3">
        <v>46139</v>
      </c>
      <c r="E4" s="4">
        <v>0.33</v>
      </c>
      <c r="F4" s="30">
        <v>28</v>
      </c>
      <c r="G4" s="30">
        <f t="shared" ref="G4:G7" si="0">NETWORKDAYS(C4,D4)*8*E4*F4</f>
        <v>3030.7200000000003</v>
      </c>
      <c r="H4" s="31">
        <v>45</v>
      </c>
      <c r="I4" s="31">
        <f>NETWORKDAYS(C4,D4)*8*E4*H4</f>
        <v>4870.8</v>
      </c>
    </row>
    <row r="5" spans="1:11" ht="12.75" customHeight="1">
      <c r="A5" s="1" t="s">
        <v>50</v>
      </c>
      <c r="B5" t="s">
        <v>51</v>
      </c>
      <c r="C5" s="3">
        <v>46083</v>
      </c>
      <c r="D5" s="3">
        <v>46139</v>
      </c>
      <c r="E5" s="4">
        <v>0.5</v>
      </c>
      <c r="F5" s="30">
        <v>52</v>
      </c>
      <c r="G5" s="30">
        <f t="shared" si="0"/>
        <v>8528</v>
      </c>
      <c r="H5" s="31">
        <v>45</v>
      </c>
      <c r="I5" s="31">
        <f t="shared" ref="I5:I7" si="1">NETWORKDAYS(C5,D5)*8*E5*H5</f>
        <v>7380</v>
      </c>
      <c r="J5" s="1"/>
      <c r="K5" s="1"/>
    </row>
    <row r="6" spans="1:11" ht="12.75" customHeight="1">
      <c r="A6" s="1" t="s">
        <v>52</v>
      </c>
      <c r="B6" t="s">
        <v>53</v>
      </c>
      <c r="C6" s="3">
        <v>46083</v>
      </c>
      <c r="D6" s="3">
        <v>46139</v>
      </c>
      <c r="E6" s="4">
        <v>0.5</v>
      </c>
      <c r="F6" s="30">
        <v>10</v>
      </c>
      <c r="G6" s="30">
        <f t="shared" si="0"/>
        <v>1640</v>
      </c>
      <c r="H6" s="31">
        <v>35</v>
      </c>
      <c r="I6" s="31">
        <f t="shared" si="1"/>
        <v>5740</v>
      </c>
      <c r="J6" s="1"/>
      <c r="K6" s="1"/>
    </row>
    <row r="7" spans="1:11" ht="12.75" customHeight="1">
      <c r="A7" s="1" t="s">
        <v>54</v>
      </c>
      <c r="B7" t="s">
        <v>55</v>
      </c>
      <c r="C7" s="3">
        <v>46083</v>
      </c>
      <c r="D7" s="3">
        <v>46139</v>
      </c>
      <c r="E7" s="4">
        <v>0.25</v>
      </c>
      <c r="F7" s="30">
        <v>15</v>
      </c>
      <c r="G7" s="30">
        <f t="shared" si="0"/>
        <v>1230</v>
      </c>
      <c r="H7" s="31">
        <v>35</v>
      </c>
      <c r="I7" s="31">
        <f t="shared" si="1"/>
        <v>2870</v>
      </c>
      <c r="J7" s="1"/>
      <c r="K7" s="1"/>
    </row>
    <row r="8" spans="1:11" ht="12.75" customHeight="1">
      <c r="A8" s="1" t="s">
        <v>56</v>
      </c>
      <c r="B8" t="s">
        <v>57</v>
      </c>
      <c r="C8" s="3">
        <v>46083</v>
      </c>
      <c r="D8" s="3">
        <v>46139</v>
      </c>
      <c r="E8" s="4">
        <v>1</v>
      </c>
      <c r="F8" s="30">
        <f>IFERROR(VLOOKUP(A8,'Finance team only'!D:E,2,FALSE),0)</f>
        <v>18</v>
      </c>
      <c r="G8" s="30">
        <f t="shared" ref="G8" si="2">NETWORKDAYS(C8,D8)*8*E8*F8</f>
        <v>5904</v>
      </c>
      <c r="H8" s="31">
        <v>35</v>
      </c>
      <c r="I8" s="31">
        <f t="shared" ref="I8" si="3">NETWORKDAYS(C8,D8)*8*E8*H8</f>
        <v>11480</v>
      </c>
      <c r="J8" s="1"/>
      <c r="K8" s="1"/>
    </row>
    <row r="9" spans="1:11" ht="12.75" customHeight="1">
      <c r="A9" s="51"/>
      <c r="B9" s="59"/>
      <c r="C9" s="59"/>
      <c r="D9" s="59"/>
      <c r="E9" s="59"/>
      <c r="F9" s="34"/>
      <c r="G9" s="35">
        <f>SUM(G4:G8)</f>
        <v>20332.72</v>
      </c>
      <c r="H9" s="36"/>
      <c r="I9" s="32">
        <f>SUM(I4:I8)</f>
        <v>32340.799999999999</v>
      </c>
      <c r="J9" s="5"/>
    </row>
    <row r="10" spans="1:11" ht="12.75" customHeight="1">
      <c r="A10" s="52" t="s">
        <v>39</v>
      </c>
      <c r="B10" s="60"/>
      <c r="C10" s="60"/>
      <c r="D10" s="60"/>
      <c r="E10" s="60"/>
      <c r="F10" s="60"/>
      <c r="G10" s="60"/>
      <c r="H10" s="60"/>
      <c r="I10" s="9">
        <v>34000</v>
      </c>
      <c r="J10" s="1" t="s">
        <v>40</v>
      </c>
      <c r="K10" s="10"/>
    </row>
    <row r="11" spans="1:11" ht="12.75" customHeight="1">
      <c r="A11" s="52" t="s">
        <v>58</v>
      </c>
      <c r="B11" s="60"/>
      <c r="C11" s="60"/>
      <c r="D11" s="60"/>
      <c r="E11" s="60"/>
      <c r="F11" s="60"/>
      <c r="G11" s="60"/>
      <c r="H11" s="60"/>
      <c r="I11" s="37">
        <f>G9</f>
        <v>20332.72</v>
      </c>
      <c r="K11" s="10"/>
    </row>
    <row r="12" spans="1:11" ht="48.4" customHeight="1">
      <c r="A12" s="53" t="s">
        <v>45</v>
      </c>
      <c r="B12" s="54"/>
      <c r="C12" s="54"/>
      <c r="D12" s="54"/>
      <c r="E12" s="54"/>
      <c r="F12" s="54"/>
      <c r="G12" s="54"/>
      <c r="H12" s="55"/>
      <c r="I12" s="41">
        <f>(I10-G9)/I10</f>
        <v>0.40197882352941172</v>
      </c>
      <c r="J12" s="1" t="s">
        <v>59</v>
      </c>
    </row>
    <row r="13" spans="1:11" ht="12.75" customHeight="1"/>
    <row r="14" spans="1:11" ht="12.75" customHeight="1"/>
    <row r="15" spans="1:11" ht="12.75" customHeight="1"/>
    <row r="16" spans="1:11" ht="12.75" customHeight="1"/>
    <row r="17" spans="7:9" ht="12.75" customHeight="1"/>
    <row r="18" spans="7:9" ht="12.75" customHeight="1"/>
    <row r="19" spans="7:9" ht="12.75" customHeight="1"/>
    <row r="20" spans="7:9" ht="12.75" customHeight="1">
      <c r="G20" t="s">
        <v>60</v>
      </c>
    </row>
    <row r="21" spans="7:9" ht="12.75" customHeight="1"/>
    <row r="22" spans="7:9" ht="12.75" customHeight="1"/>
    <row r="23" spans="7:9" ht="12.75" customHeight="1"/>
    <row r="24" spans="7:9" ht="12.75" customHeight="1">
      <c r="H24" s="45"/>
    </row>
    <row r="25" spans="7:9" ht="12.75" customHeight="1"/>
    <row r="26" spans="7:9" ht="12.75" customHeight="1">
      <c r="H26" s="45"/>
      <c r="I26" s="46"/>
    </row>
    <row r="27" spans="7:9" ht="12.75" customHeight="1"/>
    <row r="28" spans="7:9" ht="12.75" customHeight="1"/>
    <row r="29" spans="7:9" ht="12.75" customHeight="1"/>
    <row r="30" spans="7:9" ht="12.75" customHeight="1"/>
    <row r="31" spans="7:9" ht="12.75" customHeight="1"/>
    <row r="32" spans="7:9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</sheetData>
  <mergeCells count="4">
    <mergeCell ref="A9:E9"/>
    <mergeCell ref="A10:H10"/>
    <mergeCell ref="A11:H11"/>
    <mergeCell ref="A12:H12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C948ED0D-BEE0-47EF-AA67-5857767EDB70}">
          <x14:formula1>
            <xm:f>'Finance team only'!$D$2:$D$90</xm:f>
          </x14:formula1>
          <xm:sqref>A4:A8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I1062"/>
  <sheetViews>
    <sheetView tabSelected="1" topLeftCell="A10" workbookViewId="0">
      <selection activeCell="C27" sqref="C27"/>
    </sheetView>
  </sheetViews>
  <sheetFormatPr defaultColWidth="14.42578125" defaultRowHeight="15" customHeight="1"/>
  <cols>
    <col min="2" max="2" width="24.140625" customWidth="1"/>
    <col min="3" max="3" width="39.42578125" customWidth="1"/>
    <col min="4" max="4" width="39.28515625" bestFit="1" customWidth="1"/>
    <col min="5" max="5" width="31.28515625" customWidth="1"/>
    <col min="8" max="8" width="19.140625" customWidth="1"/>
  </cols>
  <sheetData>
    <row r="1" spans="1:9" ht="15.75" customHeight="1">
      <c r="A1" s="29" t="s">
        <v>61</v>
      </c>
      <c r="B1" s="29" t="s">
        <v>62</v>
      </c>
      <c r="C1" s="29" t="s">
        <v>63</v>
      </c>
      <c r="D1" s="29" t="s">
        <v>64</v>
      </c>
      <c r="E1" s="29" t="s">
        <v>65</v>
      </c>
      <c r="F1" s="29" t="s">
        <v>66</v>
      </c>
      <c r="H1" s="25" t="s">
        <v>67</v>
      </c>
      <c r="I1" s="44"/>
    </row>
    <row r="2" spans="1:9" ht="15.75" customHeight="1">
      <c r="A2" s="27" t="s">
        <v>68</v>
      </c>
      <c r="B2" s="27" t="s">
        <v>69</v>
      </c>
      <c r="C2" s="27" t="s">
        <v>70</v>
      </c>
      <c r="D2" s="27" t="str">
        <f>A2&amp;"-"&amp;B2&amp;"-"&amp;C2</f>
        <v>IDR-Backend-Associate Software Eng</v>
      </c>
      <c r="E2" s="28">
        <v>4</v>
      </c>
      <c r="F2" s="28">
        <v>20</v>
      </c>
      <c r="G2" s="26"/>
      <c r="H2" s="25" t="s">
        <v>43</v>
      </c>
      <c r="I2" s="44">
        <v>0.2</v>
      </c>
    </row>
    <row r="3" spans="1:9" ht="15.75" customHeight="1">
      <c r="A3" s="27" t="s">
        <v>68</v>
      </c>
      <c r="B3" s="27" t="s">
        <v>69</v>
      </c>
      <c r="C3" s="27" t="s">
        <v>71</v>
      </c>
      <c r="D3" s="27" t="str">
        <f t="shared" ref="D3:D66" si="0">A3&amp;"-"&amp;B3&amp;"-"&amp;C3</f>
        <v>IDR-Backend-Lead software Engineer</v>
      </c>
      <c r="E3" s="28">
        <v>18</v>
      </c>
      <c r="F3" s="28">
        <v>35</v>
      </c>
      <c r="G3" s="26"/>
      <c r="H3" s="25" t="s">
        <v>72</v>
      </c>
      <c r="I3" s="44">
        <v>0.2</v>
      </c>
    </row>
    <row r="4" spans="1:9" ht="15.75" customHeight="1">
      <c r="A4" s="27" t="s">
        <v>68</v>
      </c>
      <c r="B4" s="27" t="s">
        <v>69</v>
      </c>
      <c r="C4" s="27" t="s">
        <v>73</v>
      </c>
      <c r="D4" s="27" t="str">
        <f t="shared" si="0"/>
        <v>IDR-Backend-Senior software Engineer</v>
      </c>
      <c r="E4" s="28">
        <v>11</v>
      </c>
      <c r="F4" s="28">
        <v>30</v>
      </c>
      <c r="G4" s="26"/>
      <c r="H4" s="6" t="s">
        <v>74</v>
      </c>
      <c r="I4" s="4">
        <v>0.04</v>
      </c>
    </row>
    <row r="5" spans="1:9" ht="15.75" customHeight="1">
      <c r="A5" s="27" t="s">
        <v>68</v>
      </c>
      <c r="B5" s="27" t="s">
        <v>69</v>
      </c>
      <c r="C5" s="27" t="s">
        <v>75</v>
      </c>
      <c r="D5" s="27" t="str">
        <f t="shared" si="0"/>
        <v>IDR-Backend-Software Engineer</v>
      </c>
      <c r="E5" s="28">
        <v>6</v>
      </c>
      <c r="F5" s="28">
        <v>25</v>
      </c>
      <c r="G5" s="26"/>
      <c r="H5" s="6" t="s">
        <v>9</v>
      </c>
      <c r="I5" s="4">
        <v>0.02</v>
      </c>
    </row>
    <row r="6" spans="1:9" ht="15.75" customHeight="1">
      <c r="A6" s="27" t="s">
        <v>68</v>
      </c>
      <c r="B6" s="27" t="s">
        <v>69</v>
      </c>
      <c r="C6" s="27" t="s">
        <v>76</v>
      </c>
      <c r="D6" s="27" t="str">
        <f t="shared" si="0"/>
        <v>IDR-Backend-Technical Architect</v>
      </c>
      <c r="E6" s="28">
        <v>52</v>
      </c>
      <c r="F6" s="28">
        <v>55</v>
      </c>
      <c r="G6" s="26"/>
      <c r="H6" s="6"/>
      <c r="I6" s="4"/>
    </row>
    <row r="7" spans="1:9" ht="15.75" customHeight="1">
      <c r="A7" s="27" t="s">
        <v>68</v>
      </c>
      <c r="B7" s="27" t="s">
        <v>77</v>
      </c>
      <c r="C7" s="27" t="s">
        <v>78</v>
      </c>
      <c r="D7" s="27" t="str">
        <f t="shared" si="0"/>
        <v>IDR-Business Analyst-Associate Business Analyst</v>
      </c>
      <c r="E7" s="28">
        <v>4</v>
      </c>
      <c r="F7" s="28">
        <v>20</v>
      </c>
      <c r="G7" s="26"/>
      <c r="H7" s="25" t="s">
        <v>79</v>
      </c>
      <c r="I7" s="44">
        <v>0.1</v>
      </c>
    </row>
    <row r="8" spans="1:9" ht="15.75" customHeight="1">
      <c r="A8" s="27" t="s">
        <v>68</v>
      </c>
      <c r="B8" s="27" t="s">
        <v>77</v>
      </c>
      <c r="C8" s="27" t="s">
        <v>77</v>
      </c>
      <c r="D8" s="27" t="str">
        <f t="shared" si="0"/>
        <v>IDR-Business Analyst-Business Analyst</v>
      </c>
      <c r="E8" s="28">
        <v>7</v>
      </c>
      <c r="F8" s="28">
        <v>25</v>
      </c>
      <c r="G8" s="26"/>
    </row>
    <row r="9" spans="1:9" ht="15.75" customHeight="1">
      <c r="A9" s="27" t="s">
        <v>68</v>
      </c>
      <c r="B9" s="27" t="s">
        <v>77</v>
      </c>
      <c r="C9" s="27" t="s">
        <v>80</v>
      </c>
      <c r="D9" s="27" t="str">
        <f t="shared" si="0"/>
        <v>IDR-Business Analyst-Lead Business Analyst</v>
      </c>
      <c r="E9" s="28">
        <v>18</v>
      </c>
      <c r="F9" s="28">
        <v>35</v>
      </c>
      <c r="G9" s="26"/>
    </row>
    <row r="10" spans="1:9" ht="15.75" customHeight="1">
      <c r="A10" s="27" t="s">
        <v>68</v>
      </c>
      <c r="B10" s="27" t="s">
        <v>77</v>
      </c>
      <c r="C10" s="27" t="s">
        <v>81</v>
      </c>
      <c r="D10" s="27" t="str">
        <f t="shared" si="0"/>
        <v>IDR-Business Analyst-Senior Business Analyst</v>
      </c>
      <c r="E10" s="28">
        <v>12</v>
      </c>
      <c r="F10" s="28">
        <v>30</v>
      </c>
      <c r="G10" s="26"/>
    </row>
    <row r="11" spans="1:9" ht="15.75" customHeight="1">
      <c r="A11" s="27" t="s">
        <v>68</v>
      </c>
      <c r="B11" s="27" t="s">
        <v>82</v>
      </c>
      <c r="C11" s="27" t="s">
        <v>70</v>
      </c>
      <c r="D11" s="27" t="str">
        <f t="shared" si="0"/>
        <v>IDR-Data Services-Associate Software Eng</v>
      </c>
      <c r="E11" s="28">
        <v>4</v>
      </c>
      <c r="F11" s="28">
        <v>30</v>
      </c>
      <c r="G11" s="26"/>
    </row>
    <row r="12" spans="1:9" ht="15.75" customHeight="1">
      <c r="A12" s="27" t="s">
        <v>68</v>
      </c>
      <c r="B12" s="27" t="s">
        <v>82</v>
      </c>
      <c r="C12" s="27" t="s">
        <v>83</v>
      </c>
      <c r="D12" s="27" t="str">
        <f t="shared" si="0"/>
        <v>IDR-Data Services-Database Administrator</v>
      </c>
      <c r="E12" s="28">
        <v>27</v>
      </c>
      <c r="F12" s="28">
        <v>45</v>
      </c>
      <c r="G12" s="26"/>
    </row>
    <row r="13" spans="1:9" ht="15.75" customHeight="1">
      <c r="A13" s="27" t="s">
        <v>68</v>
      </c>
      <c r="B13" s="27" t="s">
        <v>82</v>
      </c>
      <c r="C13" s="27" t="s">
        <v>84</v>
      </c>
      <c r="D13" s="27" t="str">
        <f t="shared" si="0"/>
        <v>IDR-Data Services-Lead Developer</v>
      </c>
      <c r="E13" s="28">
        <v>24</v>
      </c>
      <c r="F13" s="28">
        <v>45</v>
      </c>
      <c r="G13" s="26"/>
      <c r="I13">
        <f>28800/12</f>
        <v>2400</v>
      </c>
    </row>
    <row r="14" spans="1:9" ht="15.75" customHeight="1">
      <c r="A14" s="27" t="s">
        <v>68</v>
      </c>
      <c r="B14" s="27" t="s">
        <v>82</v>
      </c>
      <c r="C14" s="27" t="s">
        <v>85</v>
      </c>
      <c r="D14" s="27" t="str">
        <f t="shared" si="0"/>
        <v>IDR-Data Services-Senior Data Analyst</v>
      </c>
      <c r="E14" s="28">
        <v>21</v>
      </c>
      <c r="F14" s="28">
        <v>35</v>
      </c>
      <c r="G14" s="26"/>
      <c r="I14">
        <f>21600/12</f>
        <v>1800</v>
      </c>
    </row>
    <row r="15" spans="1:9" ht="15.75" customHeight="1">
      <c r="A15" s="27" t="s">
        <v>68</v>
      </c>
      <c r="B15" s="27" t="s">
        <v>82</v>
      </c>
      <c r="C15" s="27" t="s">
        <v>86</v>
      </c>
      <c r="D15" s="27" t="str">
        <f t="shared" si="0"/>
        <v>IDR-Data Services-Data Analyst</v>
      </c>
      <c r="E15" s="28">
        <v>11</v>
      </c>
      <c r="F15" s="28">
        <v>30</v>
      </c>
      <c r="G15" s="26"/>
    </row>
    <row r="16" spans="1:9" ht="15.75" customHeight="1">
      <c r="A16" s="27" t="s">
        <v>68</v>
      </c>
      <c r="B16" s="27" t="s">
        <v>82</v>
      </c>
      <c r="C16" s="27" t="s">
        <v>76</v>
      </c>
      <c r="D16" s="27" t="str">
        <f t="shared" si="0"/>
        <v>IDR-Data Services-Technical Architect</v>
      </c>
      <c r="E16" s="28">
        <v>41</v>
      </c>
      <c r="F16" s="28">
        <v>60</v>
      </c>
      <c r="G16" s="26"/>
    </row>
    <row r="17" spans="1:7" ht="15.75" customHeight="1">
      <c r="A17" s="27" t="s">
        <v>68</v>
      </c>
      <c r="B17" s="27" t="s">
        <v>87</v>
      </c>
      <c r="C17" s="27" t="s">
        <v>70</v>
      </c>
      <c r="D17" s="27" t="str">
        <f t="shared" si="0"/>
        <v>IDR-DevOps-Associate Software Eng</v>
      </c>
      <c r="E17" s="28">
        <v>4</v>
      </c>
      <c r="F17" s="28">
        <v>25</v>
      </c>
      <c r="G17" s="26"/>
    </row>
    <row r="18" spans="1:7" ht="15.75" customHeight="1">
      <c r="A18" s="27" t="s">
        <v>68</v>
      </c>
      <c r="B18" s="27" t="s">
        <v>87</v>
      </c>
      <c r="C18" s="27" t="s">
        <v>88</v>
      </c>
      <c r="D18" s="27" t="str">
        <f t="shared" si="0"/>
        <v>IDR-DevOps-Lead DevOps Engineer</v>
      </c>
      <c r="E18" s="28">
        <v>13</v>
      </c>
      <c r="F18" s="28">
        <v>45</v>
      </c>
      <c r="G18" s="26"/>
    </row>
    <row r="19" spans="1:7" ht="15.75" customHeight="1">
      <c r="A19" s="27" t="s">
        <v>68</v>
      </c>
      <c r="B19" s="27" t="s">
        <v>87</v>
      </c>
      <c r="C19" s="27" t="s">
        <v>73</v>
      </c>
      <c r="D19" s="27" t="str">
        <f t="shared" si="0"/>
        <v>IDR-DevOps-Senior software Engineer</v>
      </c>
      <c r="E19" s="28">
        <v>13</v>
      </c>
      <c r="F19" s="28">
        <v>40</v>
      </c>
      <c r="G19" s="26"/>
    </row>
    <row r="20" spans="1:7" ht="15.75" customHeight="1">
      <c r="A20" s="27" t="s">
        <v>68</v>
      </c>
      <c r="B20" s="27" t="s">
        <v>87</v>
      </c>
      <c r="C20" s="27" t="s">
        <v>75</v>
      </c>
      <c r="D20" s="27" t="str">
        <f t="shared" si="0"/>
        <v>IDR-DevOps-Software Engineer</v>
      </c>
      <c r="E20" s="28">
        <v>14</v>
      </c>
      <c r="F20" s="28">
        <v>35</v>
      </c>
      <c r="G20" s="26"/>
    </row>
    <row r="21" spans="1:7" ht="15.75" customHeight="1">
      <c r="A21" s="27" t="s">
        <v>68</v>
      </c>
      <c r="B21" s="27" t="s">
        <v>89</v>
      </c>
      <c r="C21" s="27" t="s">
        <v>71</v>
      </c>
      <c r="D21" s="27" t="str">
        <f t="shared" si="0"/>
        <v>IDR-Front-end-Lead software Engineer</v>
      </c>
      <c r="E21" s="28">
        <v>18</v>
      </c>
      <c r="F21" s="28">
        <v>30</v>
      </c>
      <c r="G21" s="26"/>
    </row>
    <row r="22" spans="1:7" ht="15.75" customHeight="1">
      <c r="A22" s="27" t="s">
        <v>68</v>
      </c>
      <c r="B22" s="27" t="s">
        <v>89</v>
      </c>
      <c r="C22" s="27" t="s">
        <v>73</v>
      </c>
      <c r="D22" s="27" t="str">
        <f t="shared" si="0"/>
        <v>IDR-Front-end-Senior software Engineer</v>
      </c>
      <c r="E22" s="28">
        <v>10</v>
      </c>
      <c r="F22" s="28">
        <v>25</v>
      </c>
      <c r="G22" s="26"/>
    </row>
    <row r="23" spans="1:7" ht="15.75" customHeight="1">
      <c r="A23" s="27" t="s">
        <v>68</v>
      </c>
      <c r="B23" s="27" t="s">
        <v>89</v>
      </c>
      <c r="C23" s="27" t="s">
        <v>75</v>
      </c>
      <c r="D23" s="27" t="str">
        <f t="shared" si="0"/>
        <v>IDR-Front-end-Software Engineer</v>
      </c>
      <c r="E23" s="28">
        <v>6</v>
      </c>
      <c r="F23" s="28">
        <v>20</v>
      </c>
      <c r="G23" s="26"/>
    </row>
    <row r="24" spans="1:7" ht="15.75" customHeight="1">
      <c r="A24" s="27" t="s">
        <v>68</v>
      </c>
      <c r="B24" s="27" t="s">
        <v>89</v>
      </c>
      <c r="C24" s="27" t="s">
        <v>76</v>
      </c>
      <c r="D24" s="27" t="str">
        <f t="shared" si="0"/>
        <v>IDR-Front-end-Technical Architect</v>
      </c>
      <c r="E24" s="28">
        <v>26</v>
      </c>
      <c r="F24" s="28">
        <v>40</v>
      </c>
      <c r="G24" s="26"/>
    </row>
    <row r="25" spans="1:7" ht="15.75" customHeight="1">
      <c r="A25" s="27" t="s">
        <v>68</v>
      </c>
      <c r="B25" s="27" t="s">
        <v>90</v>
      </c>
      <c r="C25" s="27" t="s">
        <v>91</v>
      </c>
      <c r="D25" s="27" t="str">
        <f t="shared" si="0"/>
        <v>IDR-Project Management-Lead Project Manager</v>
      </c>
      <c r="E25" s="28">
        <v>28</v>
      </c>
      <c r="F25" s="28">
        <v>40</v>
      </c>
      <c r="G25" s="26"/>
    </row>
    <row r="26" spans="1:7" ht="15.75" customHeight="1">
      <c r="A26" s="27" t="s">
        <v>68</v>
      </c>
      <c r="B26" s="27" t="s">
        <v>90</v>
      </c>
      <c r="C26" s="27" t="s">
        <v>92</v>
      </c>
      <c r="D26" s="27" t="str">
        <f t="shared" si="0"/>
        <v>IDR-Project Management-Project Manager</v>
      </c>
      <c r="E26" s="28">
        <v>21</v>
      </c>
      <c r="F26" s="28">
        <v>30</v>
      </c>
      <c r="G26" s="26"/>
    </row>
    <row r="27" spans="1:7" ht="15.75" customHeight="1">
      <c r="A27" s="27" t="s">
        <v>68</v>
      </c>
      <c r="B27" s="27" t="s">
        <v>93</v>
      </c>
      <c r="C27" s="27" t="s">
        <v>94</v>
      </c>
      <c r="D27" s="27" t="str">
        <f t="shared" si="0"/>
        <v>IDR-QA-Automation-Lead QA Engineer</v>
      </c>
      <c r="E27" s="28">
        <v>22</v>
      </c>
      <c r="F27" s="28">
        <v>30</v>
      </c>
      <c r="G27" s="26"/>
    </row>
    <row r="28" spans="1:7" ht="15.75" customHeight="1">
      <c r="A28" s="27" t="s">
        <v>68</v>
      </c>
      <c r="B28" s="27" t="s">
        <v>93</v>
      </c>
      <c r="C28" s="27" t="s">
        <v>95</v>
      </c>
      <c r="D28" s="27" t="str">
        <f t="shared" si="0"/>
        <v>IDR-QA-Automation-Quality Assurance Eng</v>
      </c>
      <c r="E28" s="28">
        <v>5</v>
      </c>
      <c r="F28" s="28">
        <v>20</v>
      </c>
      <c r="G28" s="26"/>
    </row>
    <row r="29" spans="1:7" ht="15.75" customHeight="1">
      <c r="A29" s="27" t="s">
        <v>68</v>
      </c>
      <c r="B29" s="27" t="s">
        <v>96</v>
      </c>
      <c r="C29" s="27" t="s">
        <v>70</v>
      </c>
      <c r="D29" s="27" t="str">
        <f t="shared" si="0"/>
        <v>IDR-QA-Manual-Associate Software Eng</v>
      </c>
      <c r="E29" s="28">
        <v>4</v>
      </c>
      <c r="F29" s="28">
        <v>20</v>
      </c>
      <c r="G29" s="26"/>
    </row>
    <row r="30" spans="1:7" ht="15.75" customHeight="1">
      <c r="A30" s="27" t="s">
        <v>68</v>
      </c>
      <c r="B30" s="27" t="s">
        <v>96</v>
      </c>
      <c r="C30" s="27" t="s">
        <v>94</v>
      </c>
      <c r="D30" s="27" t="str">
        <f t="shared" si="0"/>
        <v>IDR-QA-Manual-Lead QA Engineer</v>
      </c>
      <c r="E30" s="28">
        <v>15</v>
      </c>
      <c r="F30" s="28">
        <v>32</v>
      </c>
      <c r="G30" s="26"/>
    </row>
    <row r="31" spans="1:7" ht="15.75" customHeight="1">
      <c r="A31" s="27" t="s">
        <v>68</v>
      </c>
      <c r="B31" s="27" t="s">
        <v>96</v>
      </c>
      <c r="C31" s="27" t="s">
        <v>95</v>
      </c>
      <c r="D31" s="27" t="str">
        <f t="shared" si="0"/>
        <v>IDR-QA-Manual-Quality Assurance Eng</v>
      </c>
      <c r="E31" s="28">
        <v>7</v>
      </c>
      <c r="F31" s="28">
        <v>23</v>
      </c>
      <c r="G31" s="26"/>
    </row>
    <row r="32" spans="1:7" ht="15.75" customHeight="1">
      <c r="A32" s="27" t="s">
        <v>68</v>
      </c>
      <c r="B32" s="27" t="s">
        <v>96</v>
      </c>
      <c r="C32" s="27" t="s">
        <v>97</v>
      </c>
      <c r="D32" s="27" t="str">
        <f t="shared" si="0"/>
        <v>IDR-QA-Manual-Senior Qualaity Assurence Eng</v>
      </c>
      <c r="E32" s="28">
        <v>13</v>
      </c>
      <c r="F32" s="28">
        <v>28</v>
      </c>
      <c r="G32" s="26"/>
    </row>
    <row r="33" spans="1:7" ht="15.75" customHeight="1">
      <c r="A33" s="27" t="s">
        <v>68</v>
      </c>
      <c r="B33" s="27" t="s">
        <v>98</v>
      </c>
      <c r="C33" s="27" t="s">
        <v>71</v>
      </c>
      <c r="D33" s="27" t="str">
        <f t="shared" si="0"/>
        <v>IDR-RPA-Lead software Engineer</v>
      </c>
      <c r="E33" s="28">
        <v>18</v>
      </c>
      <c r="F33" s="28">
        <v>40</v>
      </c>
      <c r="G33" s="26"/>
    </row>
    <row r="34" spans="1:7" ht="15.75" customHeight="1">
      <c r="A34" s="27" t="s">
        <v>68</v>
      </c>
      <c r="B34" s="27" t="s">
        <v>98</v>
      </c>
      <c r="C34" s="27" t="s">
        <v>73</v>
      </c>
      <c r="D34" s="27" t="str">
        <f t="shared" si="0"/>
        <v>IDR-RPA-Senior software Engineer</v>
      </c>
      <c r="E34" s="28">
        <v>12</v>
      </c>
      <c r="F34" s="28">
        <v>25</v>
      </c>
      <c r="G34" s="26"/>
    </row>
    <row r="35" spans="1:7" ht="15.75" customHeight="1">
      <c r="A35" s="27" t="s">
        <v>68</v>
      </c>
      <c r="B35" s="27" t="s">
        <v>99</v>
      </c>
      <c r="C35" s="27" t="s">
        <v>73</v>
      </c>
      <c r="D35" s="27" t="str">
        <f t="shared" si="0"/>
        <v>IDR-Salesforce-Senior software Engineer</v>
      </c>
      <c r="E35" s="28">
        <v>9</v>
      </c>
      <c r="F35" s="28">
        <v>30</v>
      </c>
      <c r="G35" s="26"/>
    </row>
    <row r="36" spans="1:7" ht="15.75" customHeight="1">
      <c r="A36" s="27" t="s">
        <v>68</v>
      </c>
      <c r="B36" s="27" t="s">
        <v>100</v>
      </c>
      <c r="C36" s="27" t="s">
        <v>73</v>
      </c>
      <c r="D36" s="27" t="str">
        <f t="shared" si="0"/>
        <v>IDR-SharePoint-Senior software Engineer</v>
      </c>
      <c r="E36" s="28">
        <v>13</v>
      </c>
      <c r="F36" s="28">
        <v>35</v>
      </c>
      <c r="G36" s="26"/>
    </row>
    <row r="37" spans="1:7" ht="15.75" customHeight="1">
      <c r="A37" s="27" t="s">
        <v>68</v>
      </c>
      <c r="B37" s="27" t="s">
        <v>100</v>
      </c>
      <c r="C37" s="27" t="s">
        <v>75</v>
      </c>
      <c r="D37" s="27" t="str">
        <f t="shared" si="0"/>
        <v>IDR-SharePoint-Software Engineer</v>
      </c>
      <c r="E37" s="28">
        <v>11</v>
      </c>
      <c r="F37" s="28">
        <v>30</v>
      </c>
      <c r="G37" s="26"/>
    </row>
    <row r="38" spans="1:7" ht="15.75" customHeight="1">
      <c r="A38" s="27" t="s">
        <v>68</v>
      </c>
      <c r="B38" s="27" t="s">
        <v>101</v>
      </c>
      <c r="C38" s="27" t="s">
        <v>102</v>
      </c>
      <c r="D38" s="27" t="str">
        <f t="shared" si="0"/>
        <v>IDR-UX-Design-Senior Designer</v>
      </c>
      <c r="E38" s="28">
        <v>10</v>
      </c>
      <c r="F38" s="28">
        <v>30</v>
      </c>
      <c r="G38" s="26"/>
    </row>
    <row r="39" spans="1:7" ht="15.75" customHeight="1">
      <c r="A39" s="27" t="s">
        <v>68</v>
      </c>
      <c r="B39" s="27" t="s">
        <v>103</v>
      </c>
      <c r="C39" s="27" t="s">
        <v>104</v>
      </c>
      <c r="D39" s="27" t="str">
        <f t="shared" si="0"/>
        <v>IDR-Consultant-Associate Consultant</v>
      </c>
      <c r="E39" s="28">
        <v>25</v>
      </c>
      <c r="F39" s="28">
        <v>30</v>
      </c>
      <c r="G39" s="26"/>
    </row>
    <row r="40" spans="1:7" ht="15.75" customHeight="1">
      <c r="A40" s="27" t="s">
        <v>68</v>
      </c>
      <c r="B40" s="27" t="s">
        <v>103</v>
      </c>
      <c r="C40" s="27" t="s">
        <v>103</v>
      </c>
      <c r="D40" s="27" t="str">
        <f t="shared" si="0"/>
        <v>IDR-Consultant-Consultant</v>
      </c>
      <c r="E40" s="28">
        <v>30</v>
      </c>
      <c r="F40" s="28">
        <v>35</v>
      </c>
      <c r="G40" s="26"/>
    </row>
    <row r="41" spans="1:7" ht="15.75" customHeight="1">
      <c r="A41" s="27" t="s">
        <v>68</v>
      </c>
      <c r="B41" s="27" t="s">
        <v>103</v>
      </c>
      <c r="C41" s="27" t="s">
        <v>105</v>
      </c>
      <c r="D41" s="27" t="str">
        <f t="shared" si="0"/>
        <v>IDR-Consultant-Sr. Consultant</v>
      </c>
      <c r="E41" s="28">
        <v>35</v>
      </c>
      <c r="F41" s="28">
        <v>40</v>
      </c>
      <c r="G41" s="26"/>
    </row>
    <row r="42" spans="1:7" ht="15.75" customHeight="1">
      <c r="A42" s="27" t="s">
        <v>68</v>
      </c>
      <c r="B42" s="27" t="s">
        <v>103</v>
      </c>
      <c r="C42" s="27" t="s">
        <v>106</v>
      </c>
      <c r="D42" s="27" t="str">
        <f t="shared" si="0"/>
        <v>IDR-Consultant-Consultant-Architect</v>
      </c>
      <c r="E42" s="28">
        <v>40</v>
      </c>
      <c r="F42" s="28">
        <v>50</v>
      </c>
      <c r="G42" s="26"/>
    </row>
    <row r="43" spans="1:7" ht="15.75" customHeight="1">
      <c r="A43" s="27" t="s">
        <v>107</v>
      </c>
      <c r="B43" s="27" t="s">
        <v>69</v>
      </c>
      <c r="C43" s="27" t="s">
        <v>70</v>
      </c>
      <c r="D43" s="27" t="str">
        <f t="shared" si="0"/>
        <v>BLR-Backend-Associate Software Eng</v>
      </c>
      <c r="E43" s="28">
        <v>6</v>
      </c>
      <c r="F43" s="28">
        <v>20</v>
      </c>
      <c r="G43" s="26"/>
    </row>
    <row r="44" spans="1:7" ht="15.75" customHeight="1">
      <c r="A44" s="27" t="s">
        <v>107</v>
      </c>
      <c r="B44" s="27" t="s">
        <v>69</v>
      </c>
      <c r="C44" s="27" t="s">
        <v>71</v>
      </c>
      <c r="D44" s="27" t="str">
        <f t="shared" si="0"/>
        <v>BLR-Backend-Lead software Engineer</v>
      </c>
      <c r="E44" s="28">
        <v>33</v>
      </c>
      <c r="F44" s="28">
        <v>45</v>
      </c>
      <c r="G44" s="26"/>
    </row>
    <row r="45" spans="1:7" ht="15.75" customHeight="1">
      <c r="A45" s="27" t="s">
        <v>107</v>
      </c>
      <c r="B45" s="27" t="s">
        <v>69</v>
      </c>
      <c r="C45" s="27" t="s">
        <v>73</v>
      </c>
      <c r="D45" s="27" t="str">
        <f t="shared" si="0"/>
        <v>BLR-Backend-Senior software Engineer</v>
      </c>
      <c r="E45" s="28">
        <v>17</v>
      </c>
      <c r="F45" s="28">
        <v>45</v>
      </c>
      <c r="G45" s="26"/>
    </row>
    <row r="46" spans="1:7" ht="15.75" customHeight="1">
      <c r="A46" s="27" t="s">
        <v>107</v>
      </c>
      <c r="B46" s="27" t="s">
        <v>69</v>
      </c>
      <c r="C46" s="27" t="s">
        <v>75</v>
      </c>
      <c r="D46" s="27" t="str">
        <f t="shared" si="0"/>
        <v>BLR-Backend-Software Engineer</v>
      </c>
      <c r="E46" s="28">
        <v>12</v>
      </c>
      <c r="F46" s="28">
        <v>25</v>
      </c>
      <c r="G46" s="26"/>
    </row>
    <row r="47" spans="1:7" ht="15.75" customHeight="1">
      <c r="A47" s="27" t="s">
        <v>107</v>
      </c>
      <c r="B47" s="27" t="s">
        <v>69</v>
      </c>
      <c r="C47" s="27" t="s">
        <v>76</v>
      </c>
      <c r="D47" s="27" t="str">
        <f t="shared" si="0"/>
        <v>BLR-Backend-Technical Architect</v>
      </c>
      <c r="E47" s="28">
        <v>59</v>
      </c>
      <c r="F47" s="28">
        <v>62</v>
      </c>
      <c r="G47" s="26"/>
    </row>
    <row r="48" spans="1:7" ht="15.75" customHeight="1">
      <c r="A48" s="27" t="s">
        <v>107</v>
      </c>
      <c r="B48" s="27" t="s">
        <v>77</v>
      </c>
      <c r="C48" s="27" t="s">
        <v>78</v>
      </c>
      <c r="D48" s="27" t="str">
        <f t="shared" si="0"/>
        <v>BLR-Business Analyst-Associate Business Analyst</v>
      </c>
      <c r="E48" s="28">
        <v>6</v>
      </c>
      <c r="F48" s="28">
        <v>20</v>
      </c>
      <c r="G48" s="26"/>
    </row>
    <row r="49" spans="1:7" ht="15.75" customHeight="1">
      <c r="A49" s="27" t="s">
        <v>107</v>
      </c>
      <c r="B49" s="27" t="s">
        <v>77</v>
      </c>
      <c r="C49" s="27" t="s">
        <v>77</v>
      </c>
      <c r="D49" s="27" t="str">
        <f t="shared" si="0"/>
        <v>BLR-Business Analyst-Business Analyst</v>
      </c>
      <c r="E49" s="28">
        <v>12</v>
      </c>
      <c r="F49" s="28">
        <v>25</v>
      </c>
      <c r="G49" s="26"/>
    </row>
    <row r="50" spans="1:7" ht="15.75" customHeight="1">
      <c r="A50" s="27" t="s">
        <v>107</v>
      </c>
      <c r="B50" s="27" t="s">
        <v>77</v>
      </c>
      <c r="C50" s="27" t="s">
        <v>80</v>
      </c>
      <c r="D50" s="27" t="str">
        <f t="shared" si="0"/>
        <v>BLR-Business Analyst-Lead Business Analyst</v>
      </c>
      <c r="E50" s="28">
        <v>42</v>
      </c>
      <c r="F50" s="28">
        <v>45</v>
      </c>
      <c r="G50" s="26"/>
    </row>
    <row r="51" spans="1:7" ht="15.75" customHeight="1">
      <c r="A51" s="27" t="s">
        <v>107</v>
      </c>
      <c r="B51" s="27" t="s">
        <v>77</v>
      </c>
      <c r="C51" s="27" t="s">
        <v>81</v>
      </c>
      <c r="D51" s="27" t="str">
        <f t="shared" si="0"/>
        <v>BLR-Business Analyst-Senior Business Analyst</v>
      </c>
      <c r="E51" s="28">
        <v>26</v>
      </c>
      <c r="F51" s="28">
        <v>30</v>
      </c>
      <c r="G51" s="26"/>
    </row>
    <row r="52" spans="1:7" ht="15.75" customHeight="1">
      <c r="A52" s="27" t="s">
        <v>107</v>
      </c>
      <c r="B52" s="27" t="s">
        <v>82</v>
      </c>
      <c r="C52" s="27" t="s">
        <v>70</v>
      </c>
      <c r="D52" s="27" t="str">
        <f t="shared" si="0"/>
        <v>BLR-Data Services-Associate Software Eng</v>
      </c>
      <c r="E52" s="28">
        <v>6</v>
      </c>
      <c r="F52" s="28">
        <v>30</v>
      </c>
      <c r="G52" s="26"/>
    </row>
    <row r="53" spans="1:7" ht="15.75" customHeight="1">
      <c r="A53" s="27" t="s">
        <v>107</v>
      </c>
      <c r="B53" s="27" t="s">
        <v>82</v>
      </c>
      <c r="C53" s="27" t="s">
        <v>83</v>
      </c>
      <c r="D53" s="27" t="str">
        <f t="shared" si="0"/>
        <v>BLR-Data Services-Database Administrator</v>
      </c>
      <c r="E53" s="28">
        <v>26</v>
      </c>
      <c r="F53" s="28">
        <v>45</v>
      </c>
      <c r="G53" s="26"/>
    </row>
    <row r="54" spans="1:7" ht="15.75" customHeight="1">
      <c r="A54" s="27" t="s">
        <v>107</v>
      </c>
      <c r="B54" s="27" t="s">
        <v>82</v>
      </c>
      <c r="C54" s="27" t="s">
        <v>84</v>
      </c>
      <c r="D54" s="27" t="str">
        <f t="shared" si="0"/>
        <v>BLR-Data Services-Lead Developer</v>
      </c>
      <c r="E54" s="28">
        <v>26</v>
      </c>
      <c r="F54" s="28">
        <v>45</v>
      </c>
      <c r="G54" s="26"/>
    </row>
    <row r="55" spans="1:7" ht="15.75" customHeight="1">
      <c r="A55" s="27" t="s">
        <v>107</v>
      </c>
      <c r="B55" s="27" t="s">
        <v>82</v>
      </c>
      <c r="C55" s="27" t="s">
        <v>85</v>
      </c>
      <c r="D55" s="27" t="str">
        <f t="shared" si="0"/>
        <v>BLR-Data Services-Senior Data Analyst</v>
      </c>
      <c r="E55" s="28">
        <v>25</v>
      </c>
      <c r="F55" s="28">
        <v>40</v>
      </c>
      <c r="G55" s="26"/>
    </row>
    <row r="56" spans="1:7" ht="15.75" customHeight="1">
      <c r="A56" s="27" t="s">
        <v>107</v>
      </c>
      <c r="B56" s="27" t="s">
        <v>82</v>
      </c>
      <c r="C56" s="27" t="s">
        <v>86</v>
      </c>
      <c r="D56" s="27" t="str">
        <f t="shared" si="0"/>
        <v>BLR-Data Services-Data Analyst</v>
      </c>
      <c r="E56" s="28">
        <v>12</v>
      </c>
      <c r="F56" s="28">
        <v>30</v>
      </c>
      <c r="G56" s="26"/>
    </row>
    <row r="57" spans="1:7" ht="15.75" customHeight="1">
      <c r="A57" s="27" t="s">
        <v>107</v>
      </c>
      <c r="B57" s="27" t="s">
        <v>82</v>
      </c>
      <c r="C57" s="27" t="s">
        <v>76</v>
      </c>
      <c r="D57" s="27" t="str">
        <f t="shared" si="0"/>
        <v>BLR-Data Services-Technical Architect</v>
      </c>
      <c r="E57" s="28">
        <v>44</v>
      </c>
      <c r="F57" s="28">
        <v>60</v>
      </c>
      <c r="G57" s="26"/>
    </row>
    <row r="58" spans="1:7" ht="15.75" customHeight="1">
      <c r="A58" s="27" t="s">
        <v>107</v>
      </c>
      <c r="B58" s="27" t="s">
        <v>87</v>
      </c>
      <c r="C58" s="27" t="s">
        <v>70</v>
      </c>
      <c r="D58" s="27" t="str">
        <f t="shared" si="0"/>
        <v>BLR-DevOps-Associate Software Eng</v>
      </c>
      <c r="E58" s="28">
        <v>6</v>
      </c>
      <c r="F58" s="28">
        <v>25</v>
      </c>
      <c r="G58" s="26"/>
    </row>
    <row r="59" spans="1:7" ht="15.75" customHeight="1">
      <c r="A59" s="27" t="s">
        <v>107</v>
      </c>
      <c r="B59" s="27" t="s">
        <v>87</v>
      </c>
      <c r="C59" s="27" t="s">
        <v>88</v>
      </c>
      <c r="D59" s="27" t="str">
        <f t="shared" si="0"/>
        <v>BLR-DevOps-Lead DevOps Engineer</v>
      </c>
      <c r="E59" s="28">
        <v>33</v>
      </c>
      <c r="F59" s="28">
        <v>45</v>
      </c>
      <c r="G59" s="26"/>
    </row>
    <row r="60" spans="1:7" ht="15.75" customHeight="1">
      <c r="A60" s="27" t="s">
        <v>107</v>
      </c>
      <c r="B60" s="27" t="s">
        <v>87</v>
      </c>
      <c r="C60" s="27" t="s">
        <v>73</v>
      </c>
      <c r="D60" s="27" t="str">
        <f t="shared" si="0"/>
        <v>BLR-DevOps-Senior software Engineer</v>
      </c>
      <c r="E60" s="28">
        <v>21</v>
      </c>
      <c r="F60" s="28">
        <v>40</v>
      </c>
      <c r="G60" s="26"/>
    </row>
    <row r="61" spans="1:7" ht="15.75" customHeight="1">
      <c r="A61" s="27" t="s">
        <v>107</v>
      </c>
      <c r="B61" s="27" t="s">
        <v>87</v>
      </c>
      <c r="C61" s="27" t="s">
        <v>75</v>
      </c>
      <c r="D61" s="27" t="str">
        <f t="shared" si="0"/>
        <v>BLR-DevOps-Software Engineer</v>
      </c>
      <c r="E61" s="28">
        <v>21</v>
      </c>
      <c r="F61" s="28">
        <v>35</v>
      </c>
      <c r="G61" s="26"/>
    </row>
    <row r="62" spans="1:7" ht="15.75" customHeight="1">
      <c r="A62" s="27" t="s">
        <v>107</v>
      </c>
      <c r="B62" s="27" t="s">
        <v>89</v>
      </c>
      <c r="C62" s="27" t="s">
        <v>71</v>
      </c>
      <c r="D62" s="27" t="str">
        <f t="shared" si="0"/>
        <v>BLR-Front-end-Lead software Engineer</v>
      </c>
      <c r="E62" s="28">
        <v>24</v>
      </c>
      <c r="F62" s="28">
        <v>30</v>
      </c>
      <c r="G62" s="26"/>
    </row>
    <row r="63" spans="1:7" ht="15.75" customHeight="1">
      <c r="A63" s="27" t="s">
        <v>107</v>
      </c>
      <c r="B63" s="27" t="s">
        <v>89</v>
      </c>
      <c r="C63" s="27" t="s">
        <v>73</v>
      </c>
      <c r="D63" s="27" t="str">
        <f t="shared" si="0"/>
        <v>BLR-Front-end-Senior software Engineer</v>
      </c>
      <c r="E63" s="28">
        <v>18</v>
      </c>
      <c r="F63" s="28">
        <v>25</v>
      </c>
      <c r="G63" s="26"/>
    </row>
    <row r="64" spans="1:7" ht="15.75" customHeight="1">
      <c r="A64" s="27" t="s">
        <v>107</v>
      </c>
      <c r="B64" s="27" t="s">
        <v>89</v>
      </c>
      <c r="C64" s="27" t="s">
        <v>75</v>
      </c>
      <c r="D64" s="27" t="str">
        <f t="shared" si="0"/>
        <v>BLR-Front-end-Software Engineer</v>
      </c>
      <c r="E64" s="28">
        <v>11</v>
      </c>
      <c r="F64" s="28">
        <v>20</v>
      </c>
      <c r="G64" s="26"/>
    </row>
    <row r="65" spans="1:7" ht="15.75" customHeight="1">
      <c r="A65" s="27" t="s">
        <v>107</v>
      </c>
      <c r="B65" s="27" t="s">
        <v>89</v>
      </c>
      <c r="C65" s="27" t="s">
        <v>76</v>
      </c>
      <c r="D65" s="27" t="str">
        <f t="shared" si="0"/>
        <v>BLR-Front-end-Technical Architect</v>
      </c>
      <c r="E65" s="28">
        <v>44</v>
      </c>
      <c r="F65" s="28">
        <v>55</v>
      </c>
      <c r="G65" s="26"/>
    </row>
    <row r="66" spans="1:7" ht="15.75" customHeight="1">
      <c r="A66" s="27" t="s">
        <v>107</v>
      </c>
      <c r="B66" s="27" t="s">
        <v>90</v>
      </c>
      <c r="C66" s="27" t="s">
        <v>91</v>
      </c>
      <c r="D66" s="27" t="str">
        <f t="shared" si="0"/>
        <v>BLR-Project Management-Lead Project Manager</v>
      </c>
      <c r="E66" s="28">
        <v>59</v>
      </c>
      <c r="F66" s="28">
        <v>65</v>
      </c>
      <c r="G66" s="26"/>
    </row>
    <row r="67" spans="1:7" ht="15.75" customHeight="1">
      <c r="A67" s="27" t="s">
        <v>107</v>
      </c>
      <c r="B67" s="27" t="s">
        <v>90</v>
      </c>
      <c r="C67" s="27" t="s">
        <v>92</v>
      </c>
      <c r="D67" s="27" t="str">
        <f t="shared" ref="D67:D89" si="1">A67&amp;"-"&amp;B67&amp;"-"&amp;C67</f>
        <v>BLR-Project Management-Project Manager</v>
      </c>
      <c r="E67" s="28">
        <v>45</v>
      </c>
      <c r="F67" s="28">
        <v>50</v>
      </c>
      <c r="G67" s="26"/>
    </row>
    <row r="68" spans="1:7" ht="15.75" customHeight="1">
      <c r="A68" s="27" t="s">
        <v>107</v>
      </c>
      <c r="B68" s="27" t="s">
        <v>93</v>
      </c>
      <c r="C68" s="27" t="s">
        <v>94</v>
      </c>
      <c r="D68" s="27" t="str">
        <f t="shared" si="1"/>
        <v>BLR-QA-Automation-Lead QA Engineer</v>
      </c>
      <c r="E68" s="28">
        <v>25</v>
      </c>
      <c r="F68" s="28">
        <v>33</v>
      </c>
      <c r="G68" s="26"/>
    </row>
    <row r="69" spans="1:7" ht="15.75" customHeight="1">
      <c r="A69" s="27" t="s">
        <v>107</v>
      </c>
      <c r="B69" s="27" t="s">
        <v>93</v>
      </c>
      <c r="C69" s="27" t="s">
        <v>95</v>
      </c>
      <c r="D69" s="27" t="str">
        <f t="shared" si="1"/>
        <v>BLR-QA-Automation-Quality Assurance Eng</v>
      </c>
      <c r="E69" s="28">
        <v>14</v>
      </c>
      <c r="F69" s="28">
        <v>20</v>
      </c>
      <c r="G69" s="26"/>
    </row>
    <row r="70" spans="1:7" ht="15.75" customHeight="1">
      <c r="A70" s="27" t="s">
        <v>107</v>
      </c>
      <c r="B70" s="27" t="s">
        <v>96</v>
      </c>
      <c r="C70" s="27" t="s">
        <v>70</v>
      </c>
      <c r="D70" s="27" t="str">
        <f t="shared" si="1"/>
        <v>BLR-QA-Manual-Associate Software Eng</v>
      </c>
      <c r="E70" s="28">
        <v>6</v>
      </c>
      <c r="F70" s="28">
        <v>20</v>
      </c>
      <c r="G70" s="26"/>
    </row>
    <row r="71" spans="1:7" ht="15.75" customHeight="1">
      <c r="A71" s="27" t="s">
        <v>107</v>
      </c>
      <c r="B71" s="27" t="s">
        <v>96</v>
      </c>
      <c r="C71" s="27" t="s">
        <v>94</v>
      </c>
      <c r="D71" s="27" t="str">
        <f t="shared" si="1"/>
        <v>BLR-QA-Manual-Lead QA Engineer</v>
      </c>
      <c r="E71" s="28">
        <v>30</v>
      </c>
      <c r="F71" s="28">
        <v>32</v>
      </c>
      <c r="G71" s="26"/>
    </row>
    <row r="72" spans="1:7" ht="15.75" customHeight="1">
      <c r="A72" s="27" t="s">
        <v>107</v>
      </c>
      <c r="B72" s="27" t="s">
        <v>96</v>
      </c>
      <c r="C72" s="27" t="s">
        <v>95</v>
      </c>
      <c r="D72" s="27" t="str">
        <f t="shared" si="1"/>
        <v>BLR-QA-Manual-Quality Assurance Eng</v>
      </c>
      <c r="E72" s="28">
        <v>12</v>
      </c>
      <c r="F72" s="28">
        <v>23</v>
      </c>
      <c r="G72" s="26"/>
    </row>
    <row r="73" spans="1:7" ht="15.75" customHeight="1">
      <c r="A73" s="27" t="s">
        <v>107</v>
      </c>
      <c r="B73" s="27" t="s">
        <v>96</v>
      </c>
      <c r="C73" s="27" t="s">
        <v>97</v>
      </c>
      <c r="D73" s="27" t="str">
        <f t="shared" si="1"/>
        <v>BLR-QA-Manual-Senior Qualaity Assurence Eng</v>
      </c>
      <c r="E73" s="28">
        <v>21</v>
      </c>
      <c r="F73" s="28">
        <v>28</v>
      </c>
      <c r="G73" s="26"/>
    </row>
    <row r="74" spans="1:7" ht="15.75" customHeight="1">
      <c r="A74" s="27" t="s">
        <v>107</v>
      </c>
      <c r="B74" s="27" t="s">
        <v>98</v>
      </c>
      <c r="C74" s="27" t="s">
        <v>71</v>
      </c>
      <c r="D74" s="27" t="str">
        <f t="shared" si="1"/>
        <v>BLR-RPA-Lead software Engineer</v>
      </c>
      <c r="E74" s="28">
        <v>23</v>
      </c>
      <c r="F74" s="28">
        <v>45</v>
      </c>
      <c r="G74" s="26"/>
    </row>
    <row r="75" spans="1:7" ht="15.75" customHeight="1">
      <c r="A75" s="27" t="s">
        <v>107</v>
      </c>
      <c r="B75" s="27" t="s">
        <v>98</v>
      </c>
      <c r="C75" s="27" t="s">
        <v>73</v>
      </c>
      <c r="D75" s="27" t="str">
        <f t="shared" si="1"/>
        <v>BLR-RPA-Senior software Engineer</v>
      </c>
      <c r="E75" s="28">
        <v>15</v>
      </c>
      <c r="F75" s="28">
        <v>25</v>
      </c>
      <c r="G75" s="26"/>
    </row>
    <row r="76" spans="1:7" ht="15.75" customHeight="1">
      <c r="A76" s="27" t="s">
        <v>107</v>
      </c>
      <c r="B76" s="27" t="s">
        <v>99</v>
      </c>
      <c r="C76" s="27" t="s">
        <v>73</v>
      </c>
      <c r="D76" s="27" t="str">
        <f t="shared" si="1"/>
        <v>BLR-Salesforce-Senior software Engineer</v>
      </c>
      <c r="E76" s="28">
        <v>15</v>
      </c>
      <c r="F76" s="28">
        <v>30</v>
      </c>
      <c r="G76" s="26"/>
    </row>
    <row r="77" spans="1:7" ht="15.75" customHeight="1">
      <c r="A77" s="27" t="s">
        <v>107</v>
      </c>
      <c r="B77" s="27" t="s">
        <v>100</v>
      </c>
      <c r="C77" s="27" t="s">
        <v>73</v>
      </c>
      <c r="D77" s="27" t="str">
        <f t="shared" si="1"/>
        <v>BLR-SharePoint-Senior software Engineer</v>
      </c>
      <c r="E77" s="28">
        <v>18</v>
      </c>
      <c r="F77" s="28">
        <v>40</v>
      </c>
      <c r="G77" s="26"/>
    </row>
    <row r="78" spans="1:7" ht="15.75" customHeight="1">
      <c r="A78" s="27" t="s">
        <v>107</v>
      </c>
      <c r="B78" s="27" t="s">
        <v>100</v>
      </c>
      <c r="C78" s="27" t="s">
        <v>75</v>
      </c>
      <c r="D78" s="27" t="str">
        <f t="shared" si="1"/>
        <v>BLR-SharePoint-Software Engineer</v>
      </c>
      <c r="E78" s="28">
        <v>15</v>
      </c>
      <c r="F78" s="28">
        <v>35</v>
      </c>
      <c r="G78" s="26"/>
    </row>
    <row r="79" spans="1:7" ht="15.75" customHeight="1">
      <c r="A79" s="27" t="s">
        <v>107</v>
      </c>
      <c r="B79" s="27" t="s">
        <v>101</v>
      </c>
      <c r="C79" s="27" t="s">
        <v>102</v>
      </c>
      <c r="D79" s="27" t="str">
        <f t="shared" si="1"/>
        <v>BLR-UX-Design-Senior Designer</v>
      </c>
      <c r="E79" s="28">
        <v>12</v>
      </c>
      <c r="F79" s="28">
        <v>30</v>
      </c>
      <c r="G79" s="26"/>
    </row>
    <row r="80" spans="1:7" ht="15.75" customHeight="1">
      <c r="A80" s="27" t="s">
        <v>107</v>
      </c>
      <c r="B80" s="27" t="s">
        <v>103</v>
      </c>
      <c r="C80" s="27" t="s">
        <v>104</v>
      </c>
      <c r="D80" s="27" t="str">
        <f t="shared" si="1"/>
        <v>BLR-Consultant-Associate Consultant</v>
      </c>
      <c r="E80" s="28">
        <v>25</v>
      </c>
      <c r="F80" s="28">
        <v>30</v>
      </c>
      <c r="G80" s="26"/>
    </row>
    <row r="81" spans="1:9" ht="15.75" customHeight="1">
      <c r="A81" s="27" t="s">
        <v>107</v>
      </c>
      <c r="B81" s="27" t="s">
        <v>103</v>
      </c>
      <c r="C81" s="27" t="s">
        <v>103</v>
      </c>
      <c r="D81" s="27" t="str">
        <f t="shared" si="1"/>
        <v>BLR-Consultant-Consultant</v>
      </c>
      <c r="E81" s="28">
        <v>30</v>
      </c>
      <c r="F81" s="28">
        <v>35</v>
      </c>
      <c r="G81" s="26"/>
    </row>
    <row r="82" spans="1:9" ht="15.75" customHeight="1">
      <c r="A82" s="27" t="s">
        <v>107</v>
      </c>
      <c r="B82" s="27" t="s">
        <v>103</v>
      </c>
      <c r="C82" s="27" t="s">
        <v>105</v>
      </c>
      <c r="D82" s="27" t="str">
        <f t="shared" si="1"/>
        <v>BLR-Consultant-Sr. Consultant</v>
      </c>
      <c r="E82" s="28">
        <v>35</v>
      </c>
      <c r="F82" s="28">
        <v>40</v>
      </c>
      <c r="G82" s="26"/>
    </row>
    <row r="83" spans="1:9" ht="15.75" customHeight="1">
      <c r="A83" s="27" t="s">
        <v>107</v>
      </c>
      <c r="B83" s="27" t="s">
        <v>103</v>
      </c>
      <c r="C83" s="27" t="s">
        <v>106</v>
      </c>
      <c r="D83" s="27" t="str">
        <f t="shared" si="1"/>
        <v>BLR-Consultant-Consultant-Architect</v>
      </c>
      <c r="E83" s="28">
        <v>40</v>
      </c>
      <c r="F83" s="28">
        <v>50</v>
      </c>
      <c r="G83" s="26"/>
    </row>
    <row r="84" spans="1:9" ht="15.75" customHeight="1">
      <c r="A84" s="27" t="s">
        <v>108</v>
      </c>
      <c r="B84" s="27" t="s">
        <v>109</v>
      </c>
      <c r="C84" s="27" t="s">
        <v>20</v>
      </c>
      <c r="D84" s="27" t="str">
        <f t="shared" si="1"/>
        <v>BOS-Product Owner-Product Manager</v>
      </c>
      <c r="E84" s="28">
        <v>104</v>
      </c>
      <c r="F84" s="28">
        <v>120</v>
      </c>
      <c r="G84" s="26"/>
    </row>
    <row r="85" spans="1:9" ht="15.75" customHeight="1">
      <c r="A85" s="27" t="s">
        <v>108</v>
      </c>
      <c r="B85" s="27" t="s">
        <v>109</v>
      </c>
      <c r="C85" s="27" t="s">
        <v>110</v>
      </c>
      <c r="D85" s="27" t="str">
        <f t="shared" si="1"/>
        <v>BOS-Product Owner-Senior Product Manager</v>
      </c>
      <c r="E85" s="28">
        <v>102</v>
      </c>
      <c r="F85" s="28">
        <v>135</v>
      </c>
      <c r="G85" s="26"/>
    </row>
    <row r="86" spans="1:9" ht="15.75" customHeight="1">
      <c r="A86" s="27" t="s">
        <v>108</v>
      </c>
      <c r="B86" s="27" t="s">
        <v>103</v>
      </c>
      <c r="C86" s="27" t="s">
        <v>104</v>
      </c>
      <c r="D86" s="27" t="str">
        <f t="shared" si="1"/>
        <v>BOS-Consultant-Associate Consultant</v>
      </c>
      <c r="E86" s="28">
        <v>75</v>
      </c>
      <c r="F86" s="28">
        <v>113</v>
      </c>
      <c r="G86" s="26"/>
      <c r="I86" s="6"/>
    </row>
    <row r="87" spans="1:9" ht="15.75" customHeight="1">
      <c r="A87" s="27" t="s">
        <v>108</v>
      </c>
      <c r="B87" s="27" t="s">
        <v>103</v>
      </c>
      <c r="C87" s="27" t="s">
        <v>103</v>
      </c>
      <c r="D87" s="27" t="str">
        <f t="shared" si="1"/>
        <v>BOS-Consultant-Consultant</v>
      </c>
      <c r="E87" s="28">
        <v>90</v>
      </c>
      <c r="F87" s="28">
        <v>135</v>
      </c>
      <c r="G87" s="26"/>
      <c r="I87" s="6"/>
    </row>
    <row r="88" spans="1:9" ht="15.75" customHeight="1">
      <c r="A88" s="27" t="s">
        <v>108</v>
      </c>
      <c r="B88" s="27" t="s">
        <v>103</v>
      </c>
      <c r="C88" s="27" t="s">
        <v>105</v>
      </c>
      <c r="D88" s="27" t="str">
        <f t="shared" si="1"/>
        <v>BOS-Consultant-Sr. Consultant</v>
      </c>
      <c r="E88" s="28">
        <v>100</v>
      </c>
      <c r="F88" s="28">
        <v>150</v>
      </c>
      <c r="G88" s="26"/>
      <c r="I88" s="6"/>
    </row>
    <row r="89" spans="1:9" ht="15.75" customHeight="1">
      <c r="A89" s="27" t="s">
        <v>108</v>
      </c>
      <c r="B89" s="27" t="s">
        <v>103</v>
      </c>
      <c r="C89" s="27" t="s">
        <v>106</v>
      </c>
      <c r="D89" s="27" t="str">
        <f t="shared" si="1"/>
        <v>BOS-Consultant-Consultant-Architect</v>
      </c>
      <c r="E89" s="28">
        <v>120</v>
      </c>
      <c r="F89" s="28">
        <v>180</v>
      </c>
      <c r="G89" s="26"/>
    </row>
    <row r="90" spans="1:9" ht="15.75" customHeight="1"/>
    <row r="91" spans="1:9" ht="15.75" customHeight="1"/>
    <row r="92" spans="1:9" ht="15.75" customHeight="1"/>
    <row r="93" spans="1:9" ht="15.75" customHeight="1"/>
    <row r="94" spans="1:9" ht="15.75" customHeight="1"/>
    <row r="95" spans="1:9" ht="15.75" customHeight="1"/>
    <row r="96" spans="1:9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</sheetData>
  <sortState xmlns:xlrd2="http://schemas.microsoft.com/office/spreadsheetml/2017/richdata2" ref="A2:G89">
    <sortCondition descending="1" ref="A2:A89"/>
  </sortState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Kumar Mishra, Pramod</dc:creator>
  <cp:keywords/>
  <dc:description/>
  <cp:lastModifiedBy/>
  <cp:revision/>
  <dcterms:created xsi:type="dcterms:W3CDTF">2021-04-09T14:04:21Z</dcterms:created>
  <dcterms:modified xsi:type="dcterms:W3CDTF">2026-05-20T07:51:12Z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feb0fd-2301-4f41-ad62-4ec4dd440a74_Enabled">
    <vt:lpwstr>true</vt:lpwstr>
  </property>
  <property fmtid="{D5CDD505-2E9C-101B-9397-08002B2CF9AE}" pid="3" name="MSIP_Label_51feb0fd-2301-4f41-ad62-4ec4dd440a74_SetDate">
    <vt:lpwstr>2022-02-16T13:33:12Z</vt:lpwstr>
  </property>
  <property fmtid="{D5CDD505-2E9C-101B-9397-08002B2CF9AE}" pid="4" name="MSIP_Label_51feb0fd-2301-4f41-ad62-4ec4dd440a74_Method">
    <vt:lpwstr>Privileged</vt:lpwstr>
  </property>
  <property fmtid="{D5CDD505-2E9C-101B-9397-08002B2CF9AE}" pid="5" name="MSIP_Label_51feb0fd-2301-4f41-ad62-4ec4dd440a74_Name">
    <vt:lpwstr>General</vt:lpwstr>
  </property>
  <property fmtid="{D5CDD505-2E9C-101B-9397-08002B2CF9AE}" pid="6" name="MSIP_Label_51feb0fd-2301-4f41-ad62-4ec4dd440a74_SiteId">
    <vt:lpwstr>f6e2857d-f345-4d98-96f2-2e25c65b077f</vt:lpwstr>
  </property>
  <property fmtid="{D5CDD505-2E9C-101B-9397-08002B2CF9AE}" pid="7" name="MSIP_Label_51feb0fd-2301-4f41-ad62-4ec4dd440a74_ActionId">
    <vt:lpwstr>490cfc2f-96e6-46a8-9b28-c823ed5266d8</vt:lpwstr>
  </property>
  <property fmtid="{D5CDD505-2E9C-101B-9397-08002B2CF9AE}" pid="8" name="MSIP_Label_51feb0fd-2301-4f41-ad62-4ec4dd440a74_ContentBits">
    <vt:lpwstr>0</vt:lpwstr>
  </property>
</Properties>
</file>